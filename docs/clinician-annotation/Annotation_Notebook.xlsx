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tor review" sheetId="1" r:id="rId5"/>
    <sheet state="visible" name="Queue exercise" sheetId="2" r:id="rId6"/>
    <sheet state="hidden" name="Progress" sheetId="3" r:id="rId7"/>
    <sheet state="hidden" name="Clinical review" sheetId="4" r:id="rId8"/>
    <sheet state="hidden" name="Observations" sheetId="5" r:id="rId9"/>
    <sheet state="hidden" name="Queue review" sheetId="6" r:id="rId10"/>
    <sheet state="hidden" name="Cases" sheetId="7" r:id="rId11"/>
    <sheet state="hidden" name="Codebook"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3">
      <text>
        <t xml:space="preserve">Source report: leave unchanged. Fictional, AI-authored text; no source audio.</t>
      </text>
    </comment>
    <comment authorId="0" ref="B62">
      <text>
        <t xml:space="preserve">Source report: leave unchanged. Fictional, AI-authored text; no source audio.</t>
      </text>
    </comment>
    <comment authorId="0" ref="B27">
      <text>
        <t xml:space="preserve">Source report: leave unchanged. Fictional, AI-authored text; no source audio.</t>
      </text>
    </comment>
    <comment authorId="0" ref="B26">
      <text>
        <t xml:space="preserve">Source report: leave unchanged. Fictional, AI-authored text; no source audio.</t>
      </text>
    </comment>
    <comment authorId="0" ref="B90">
      <text>
        <t xml:space="preserve">Source report: leave unchanged. Fictional, AI-authored text; no source audio.</t>
      </text>
    </comment>
    <comment authorId="0" ref="B89">
      <text>
        <t xml:space="preserve">Source report: leave unchanged. Fictional, AI-authored text; no source audio.</t>
      </text>
    </comment>
    <comment authorId="0" ref="B54">
      <text>
        <t xml:space="preserve">Source report: leave unchanged. Fictional, AI-authored text; no source audio.</t>
      </text>
    </comment>
    <comment authorId="0" ref="B53">
      <text>
        <t xml:space="preserve">Source report: leave unchanged. Fictional, AI-authored text; no source audio.</t>
      </text>
    </comment>
    <comment authorId="0" ref="B18">
      <text>
        <t xml:space="preserve">Source report: leave unchanged. Fictional, AI-authored text; no source audio.</t>
      </text>
    </comment>
    <comment authorId="0" ref="B17">
      <text>
        <t xml:space="preserve">Source report: leave unchanged. Fictional, AI-authored text; no source audio.</t>
      </text>
    </comment>
    <comment authorId="0" ref="B81">
      <text>
        <t xml:space="preserve">Source report: leave unchanged. Fictional, AI-authored text; no source audio.</t>
      </text>
    </comment>
    <comment authorId="0" ref="B80">
      <text>
        <t xml:space="preserve">Source report: leave unchanged. Fictional, AI-authored text; no source audio.</t>
      </text>
    </comment>
    <comment authorId="0" ref="B45">
      <text>
        <t xml:space="preserve">Source report: leave unchanged. Fictional, AI-authored text; no source audio.</t>
      </text>
    </comment>
    <comment authorId="0" ref="B44">
      <text>
        <t xml:space="preserve">Source report: leave unchanged. Fictional, AI-authored text; no source audio.</t>
      </text>
    </comment>
    <comment authorId="0" ref="B9">
      <text>
        <t xml:space="preserve">Source report: leave unchanged. Fictional, AI-authored text; no source audio.</t>
      </text>
    </comment>
    <comment authorId="0" ref="B8">
      <text>
        <t xml:space="preserve">Source report: leave unchanged. Fictional, AI-authored text; no source audio.</t>
      </text>
    </comment>
    <comment authorId="0" ref="B72">
      <text>
        <t xml:space="preserve">Source report: leave unchanged. Fictional, AI-authored text; no source audio.</t>
      </text>
    </comment>
    <comment authorId="0" ref="B71">
      <text>
        <t xml:space="preserve">Source report: leave unchanged. Fictional, AI-authored text; no source audio.</t>
      </text>
    </comment>
    <comment authorId="0" ref="B36">
      <text>
        <t xml:space="preserve">Source report: leave unchanged. Fictional, AI-authored text; no source audio.</t>
      </text>
    </comment>
    <comment authorId="0" ref="B35">
      <text>
        <t xml:space="preserve">Source report: leave unchanged. Fictional, AI-authored text; no source audio.</t>
      </text>
    </comment>
  </commentList>
</comments>
</file>

<file path=xl/sharedStrings.xml><?xml version="1.0" encoding="utf-8"?>
<sst xmlns="http://schemas.openxmlformats.org/spreadsheetml/2006/main" count="702" uniqueCount="213">
  <si>
    <t>Queue exercise — optional after Cases 1–3</t>
  </si>
  <si>
    <t>EMS review — start here</t>
  </si>
  <si>
    <t>EMS clinician annotation</t>
  </si>
  <si>
    <t>10 fictional reports created with AI. Not real patient recordings.</t>
  </si>
  <si>
    <t>Within each group: 1 = prepare first. Ties are allowed. Choose Unsure if you cannot judge.</t>
  </si>
  <si>
    <t>Read each case. Fill only the yellow boxes. No diagnosis or treatment plan needed.</t>
  </si>
  <si>
    <t>Pilot review progress</t>
  </si>
  <si>
    <t>Start with Cases 1–3, then discuss the questions and preparation choices with us before continuing.</t>
  </si>
  <si>
    <t>Use the reports, ETAs and stated resources. Do not assume extra resources.</t>
  </si>
  <si>
    <t>These are separate simulated ED snapshots; no in-hospital patients are included.</t>
  </si>
  <si>
    <t>Reviews marked Done</t>
  </si>
  <si>
    <t/>
  </si>
  <si>
    <t>Group 1 · One preparation bay and one available preparation team.</t>
  </si>
  <si>
    <t>Count</t>
  </si>
  <si>
    <t>case_id</t>
  </si>
  <si>
    <t>Start with the pilot</t>
  </si>
  <si>
    <t>SYN001 · ETA 12 minutes</t>
  </si>
  <si>
    <t>Cases with review rows</t>
  </si>
  <si>
    <t>Earlier report</t>
  </si>
  <si>
    <t>No earlier report provided.</t>
  </si>
  <si>
    <t>Current report</t>
  </si>
  <si>
    <t>Adult with shortness of breath. Speaking in full sentences. Heart rate 96, BP 136 over 82, respiratory rate 22, oxygen saturation 95 percent on room air. Symptoms began about an hour ago. No chest pain reported. No medication given during this transport. ETA twelve minutes.</t>
  </si>
  <si>
    <t>Preparation order</t>
  </si>
  <si>
    <t>encounter_id</t>
  </si>
  <si>
    <t>status</t>
  </si>
  <si>
    <t>reviewer_id</t>
  </si>
  <si>
    <t>reviewed_at_UTC</t>
  </si>
  <si>
    <t>SYN004 · ETA 25 minutes</t>
  </si>
  <si>
    <t>rubric_version</t>
  </si>
  <si>
    <t>attention_category</t>
  </si>
  <si>
    <t>meaningful_change</t>
  </si>
  <si>
    <t>change_evidence</t>
  </si>
  <si>
    <t>Adult with new trouble speaking and right arm weakness. Family says last seen normal around forty minutes before this call, but that time is approximate. Glucose 108 milligrams per deciliter. Awake. BP 172 over 96, pulse 88. We cannot confirm anticoagulant use. Twenty-five minutes to your facility.</t>
  </si>
  <si>
    <t>missing_information</t>
  </si>
  <si>
    <t>essential_facts</t>
  </si>
  <si>
    <t>unsupported_inferences_to_avoid</t>
  </si>
  <si>
    <t>reference_summary</t>
  </si>
  <si>
    <t>observations_reviewed</t>
  </si>
  <si>
    <t>SYN007 · ETA 15 minutes</t>
  </si>
  <si>
    <t>summary_reviewed</t>
  </si>
  <si>
    <t>clinical_reviewed</t>
  </si>
  <si>
    <t>open_questions</t>
  </si>
  <si>
    <t>review_minutes</t>
  </si>
  <si>
    <t>completion_check</t>
  </si>
  <si>
    <t>Adult after a fall. Reports left ankle pain, no reported head strike or loss of consciousness. Awake and speaking normally. Heart rate 84, BP 128 over 74, oxygen saturation 98 percent on room air. No other injury identified in our report. Fifteen minutes out.</t>
  </si>
  <si>
    <t>finalized</t>
  </si>
  <si>
    <t>SYN001</t>
  </si>
  <si>
    <t>E001</t>
  </si>
  <si>
    <t>Why this order?
A short explanation is enough</t>
  </si>
  <si>
    <t>Not started</t>
  </si>
  <si>
    <t>Review status</t>
  </si>
  <si>
    <t>Group 2 · Two preparation bays and one available preparation team.</t>
  </si>
  <si>
    <t>SYN002 · ETA 20 minutes</t>
  </si>
  <si>
    <t>Eight minutes earlier: heart rate 104, BP 118/76, respiratory rate 24, oxygen saturation 94 percent on room air. Awake and speaking normally.</t>
  </si>
  <si>
    <t>Update on our adult with breathing trouble. Now only speaking a few words at a time. Heart rate 126, BP 100 over 64, respirations thirty, saturation 89 percent on room air. We have started oxygen, but do not have a repeat saturation yet. Twenty minutes out.</t>
  </si>
  <si>
    <t>SYN008 · ETA 30 minutes</t>
  </si>
  <si>
    <t>Seven minutes earlier: heart rate 118, BP 110/70, respiratory rate 24. Awake, reported fever and weakness.</t>
  </si>
  <si>
    <t>1. Read the accompanying guide.</t>
  </si>
  <si>
    <t>Still weak. Heart rate 128, BP 92 over 58, respirations 28. Temperature thirty-nine point one degrees Celsius. Still answering questions, but slower than before. IV access obtained. Fluids are planned but have not yet been started. Thirty minutes out.</t>
  </si>
  <si>
    <t>Case 1 · SYN001 · ETA 12 minutes</t>
  </si>
  <si>
    <t>SYN010 · ETA 11 minutes</t>
  </si>
  <si>
    <t>In progress</t>
  </si>
  <si>
    <t>Nine minutes earlier: after a vehicle collision, awake, heart rate 106, BP 126/84. Reported abdominal pain.</t>
  </si>
  <si>
    <t>Abdominal pain is worse. Pulse 132, BP 90 over 60. Patient now appears pale and says they feel faint. External bleeding is not seen. We have not assessed internal bleeding. Eleven minutes out.</t>
  </si>
  <si>
    <t>1. Brief ED handoff
2–3 sentences</t>
  </si>
  <si>
    <t>2. Important change?</t>
  </si>
  <si>
    <t>Why? What is missing?
One sentence is enough</t>
  </si>
  <si>
    <t>3. Preparation needed?</t>
  </si>
  <si>
    <t>2. Review Cases, then Observations.</t>
  </si>
  <si>
    <t>Needs clarification</t>
  </si>
  <si>
    <t>Case 2 · SYN002 · ETA 20 minutes</t>
  </si>
  <si>
    <t>3. Complete Clinical review.</t>
  </si>
  <si>
    <t>Marked completed</t>
  </si>
  <si>
    <t>Case 3 · SYN003 · ETA 9 minutes</t>
  </si>
  <si>
    <t>Six minutes earlier: awake, heart rate 112, BP 124/80. Reported chest discomfort.</t>
  </si>
  <si>
    <t>Chest discomfort is still present. Patient says it is about the same. Heart rate 110 and BP 122 over 78. No fainting reported. Aspirin was given before this update; the dose was not stated in our report. Nine minutes out. We have not transmitted an ECG interpretation.</t>
  </si>
  <si>
    <t>4. Rank Queue review separately.</t>
  </si>
  <si>
    <t>Finalized clinician reviews</t>
  </si>
  <si>
    <t>Case 4 · SYN004 · ETA 25 minutes</t>
  </si>
  <si>
    <t>5. Resolve questions and approve the rubric.</t>
  </si>
  <si>
    <t>Completion proportion</t>
  </si>
  <si>
    <t>Case 5 · SYN005 · ETA 18 minutes</t>
  </si>
  <si>
    <t>All 10 cases are synthetic and unreviewed.</t>
  </si>
  <si>
    <t>Completed but not finalized</t>
  </si>
  <si>
    <t>Ten minutes earlier: awake and following commands, heart rate 108. Crew described BP as low but did not give a number.</t>
  </si>
  <si>
    <t>Patient is now difficult to keep awake and answers only after repeated prompting. Pulse 124. Blood pressure was low earlier, but we do not have a repeat measurement. There is no documented oxygen saturation in this update. Eighteen minutes out.</t>
  </si>
  <si>
    <t>field_name</t>
  </si>
  <si>
    <t>assertion_status</t>
  </si>
  <si>
    <t>numeric_value</t>
  </si>
  <si>
    <t>reported_text</t>
  </si>
  <si>
    <t>No source audio has been supplied.</t>
  </si>
  <si>
    <t>unit</t>
  </si>
  <si>
    <t>time_reference</t>
  </si>
  <si>
    <t>Reported review time (minutes)</t>
  </si>
  <si>
    <t>source_report</t>
  </si>
  <si>
    <t>supporting_quote</t>
  </si>
  <si>
    <t>annotation_notes</t>
  </si>
  <si>
    <t>Case 6 · SYN006 · ETA 6 minutes</t>
  </si>
  <si>
    <t>Finalized means complete under the approved rubric.</t>
  </si>
  <si>
    <t>Five minutes earlier: glucose 48 mg/dL, confused, heart rate 102.</t>
  </si>
  <si>
    <t>chief_complaint</t>
  </si>
  <si>
    <t>After glucose treatment, repeat glucose is 92 milligrams per deciliter. Now awake and answering questions appropriately. Heart rate 94. Treatment dose and route were not included in the radio report. Six minutes out.</t>
  </si>
  <si>
    <t>Rubric approval</t>
  </si>
  <si>
    <t>Clinician to complete</t>
  </si>
  <si>
    <t>SYN002</t>
  </si>
  <si>
    <t>E002</t>
  </si>
  <si>
    <t>Rubric version</t>
  </si>
  <si>
    <t>draft_v0.1</t>
  </si>
  <si>
    <t>Approval status</t>
  </si>
  <si>
    <t>heart_rate</t>
  </si>
  <si>
    <t>Not approved</t>
  </si>
  <si>
    <t>Case 7 · SYN007 · ETA 15 minutes</t>
  </si>
  <si>
    <t>Queue review</t>
  </si>
  <si>
    <t>Patient judgments</t>
  </si>
  <si>
    <t>blood_pressure_systolic</t>
  </si>
  <si>
    <t>Assigned queue rows</t>
  </si>
  <si>
    <t>blood_pressure_diastolic</t>
  </si>
  <si>
    <t>Case 8 · SYN008 · ETA 30 minutes</t>
  </si>
  <si>
    <t>SYN003</t>
  </si>
  <si>
    <t>E003</t>
  </si>
  <si>
    <t>Case 9 · SYN009 · ETA 14 minutes</t>
  </si>
  <si>
    <t>Four minutes earlier: heart rate 100, BP 120/80. Awake. Oxygen saturation not reported.</t>
  </si>
  <si>
    <t>Monitor showed saturation 82 percent, then 96 percent after we repositioned the probe. Patient is speaking normally. We cannot tell whether the first reading was accurate. Pulse 98, BP 118 over 78. No oxygen treatment reported. Fourteen minutes out.</t>
  </si>
  <si>
    <t>respiratory_rate</t>
  </si>
  <si>
    <t>oxygen_saturation</t>
  </si>
  <si>
    <t>Case 10 · SYN010 · ETA 11 minutes</t>
  </si>
  <si>
    <t>SYN004</t>
  </si>
  <si>
    <t>E004</t>
  </si>
  <si>
    <t>mental_status</t>
  </si>
  <si>
    <t>interventions</t>
  </si>
  <si>
    <t>eta</t>
  </si>
  <si>
    <t>SYN005</t>
  </si>
  <si>
    <t>E005</t>
  </si>
  <si>
    <t>SYN006</t>
  </si>
  <si>
    <t>E006</t>
  </si>
  <si>
    <t>SYN007</t>
  </si>
  <si>
    <t>E007</t>
  </si>
  <si>
    <t>queue_id</t>
  </si>
  <si>
    <t>SYN008</t>
  </si>
  <si>
    <t>E008</t>
  </si>
  <si>
    <t>eta_minutes</t>
  </si>
  <si>
    <t>resource_context</t>
  </si>
  <si>
    <t>prior_information</t>
  </si>
  <si>
    <t>current_transcript</t>
  </si>
  <si>
    <t>priority_tier</t>
  </si>
  <si>
    <t>ordering_confidence</t>
  </si>
  <si>
    <t>ordering_rationale</t>
  </si>
  <si>
    <t>evidence_quote</t>
  </si>
  <si>
    <t>Q01</t>
  </si>
  <si>
    <t>Synthetic ED A: one preparation bay and one available preparation team. No competing in-hospital demand is represented.</t>
  </si>
  <si>
    <t>SYN009</t>
  </si>
  <si>
    <t>E009</t>
  </si>
  <si>
    <t>Q02</t>
  </si>
  <si>
    <t>Synthetic ED B: two preparation bays and one available preparation team. No competing in-hospital demand is represented.</t>
  </si>
  <si>
    <t>SYN010</t>
  </si>
  <si>
    <t>E010</t>
  </si>
  <si>
    <t>update_number</t>
  </si>
  <si>
    <t>elapsed_minutes</t>
  </si>
  <si>
    <t>source_type</t>
  </si>
  <si>
    <t>audio_available</t>
  </si>
  <si>
    <t>dataset_split</t>
  </si>
  <si>
    <t>source_version</t>
  </si>
  <si>
    <t>Synthetic authored fixture</t>
  </si>
  <si>
    <t>No</t>
  </si>
  <si>
    <t>Pilot only</t>
  </si>
  <si>
    <t>pilot_v1</t>
  </si>
  <si>
    <t>Field or workflow</t>
  </si>
  <si>
    <t>Definition</t>
  </si>
  <si>
    <t>Dataset</t>
  </si>
  <si>
    <t>10 synthetic, independent encounters. Text was authored for annotation-workflow testing. No real EMT audio, clinician labels, or patient outcomes are supplied.</t>
  </si>
  <si>
    <t>Input colors</t>
  </si>
  <si>
    <t>Pale amber cells are clinician inputs. Gray cells are calculated. Source transcripts must not be edited.</t>
  </si>
  <si>
    <t>Case selection</t>
  </si>
  <si>
    <t>Each case contains only its current report and the supplied earlier report. Do not infer subsequent outcomes.</t>
  </si>
  <si>
    <t>Assertion status</t>
  </si>
  <si>
    <t>Reported = explicitly stated. Explicitly negated = explicitly absent. Uncertain = contradictory, qualified, or unresolved. Not mentioned = not stated. Blank = not annotated.</t>
  </si>
  <si>
    <t>Values</t>
  </si>
  <si>
    <t>Enter a number only when stated. Keep qualitative values in reported_text. For Not mentioned or Explicitly negated, leave numeric_value blank. Do not impute zero.</t>
  </si>
  <si>
    <t>Supporting quote</t>
  </si>
  <si>
    <t>Quote exact source wording for stated or uncertain facts. For Not mentioned use NOT STATED, with source_report Not applicable. For negation, quote the negation.</t>
  </si>
  <si>
    <t>Time and source</t>
  </si>
  <si>
    <t>Separate current from earlier facts. Use a second row for an earlier measurement, repeat measurement, or conflicting report. Do not overwrite the first observation.</t>
  </si>
  <si>
    <t>Interventions</t>
  </si>
  <si>
    <t>Record drug/treatment, dose, route, timing, and given vs planned only if stated. Add separate rows and notes when needed. Never invent a dose or route.</t>
  </si>
  <si>
    <t>Coverage</t>
  </si>
  <si>
    <t>Seed fields are a minimum checklist, not an exhaustive schema. Add symptoms, glucose, temperature, onset, history, medications, and repeated observations as needed.</t>
  </si>
  <si>
    <t>Attention categories</t>
  </si>
  <si>
    <t>Draft situational-awareness labels, not ESI or clinical triage classes. Prepare now / Preparation can wait / Routine awareness / Cannot assess. Doctor must approve definitions before finalized labels count.</t>
  </si>
  <si>
    <t>Meaningful change</t>
  </si>
  <si>
    <t>Use only supplied prior/current reports. No prior information is separate from No change. Quote evidence; allow Uncertain and describe conflicting measurements.</t>
  </si>
  <si>
    <t>Summary reference</t>
  </si>
  <si>
    <t>Essential facts and prohibited unsupported inferences define correctness. Reference summary is optional wording, but a completed review requires a short summary or Cannot summarize plus reason.</t>
  </si>
  <si>
    <t>Missing information</t>
  </si>
  <si>
    <t>List relevant gaps or explicitly enter None identified. For other required narrative cells, enter None or Cannot assess plus reason rather than leaving blank.</t>
  </si>
  <si>
    <t>Queue priority</t>
  </si>
  <si>
    <t>1 = prepare first within this queue. Equal tiers allow ties. State reasoning from evidence, ETA and supplied resources. Do not use attention_category as an automatic rank.</t>
  </si>
  <si>
    <t>Progress</t>
  </si>
  <si>
    <t>Status Completed alone does not imply finalized. All review fields, three Yes checklist items, no open questions and an approved matching rubric are required. Progress counts finalized clinician reviews, not annotation rows.</t>
  </si>
  <si>
    <t>Dates and identity</t>
  </si>
  <si>
    <t>Use a consistent reviewer identifier. Record timestamps in ISO UTC, for example 2026-09-30T15:00:00Z. Do not enter clinician contact details in patient data.</t>
  </si>
  <si>
    <t>After pilot discussion, define category boundaries in the guide, set Progress B17 to the approved version and B18 to Approved. Do not approve on the clinician behalf. Re-review earlier labels after rubric changes.</t>
  </si>
  <si>
    <t>Audio</t>
  </si>
  <si>
    <t>Transcript-only review evaluates text extraction and summary, not speech recognition. Preserve raw ASR transcript; create a separate corrected transcript with audio-based review if authorized audio is added.</t>
  </si>
  <si>
    <t>Evaluation</t>
  </si>
  <si>
    <t>Do not show model outputs during independent annotation. Keep outcomes outside this shared review file. Split by encounter/scenario family; pilot cases are not held-out test cases.</t>
  </si>
  <si>
    <t>Privacy</t>
  </si>
  <si>
    <t>Use synthetic data here. Do not insert real patient identifiers, audio or transcripts unless institutional privacy approval and an approved storage/sharing workflow are in place.</t>
  </si>
  <si>
    <t>Capacity</t>
  </si>
  <si>
    <t>Formulas cover Clinical review rows 2–61; observation inputs cover rows 2–151; queue inputs cover rows 2–31. Extend formulas, validation and Progress ranges together beyond these limits.</t>
  </si>
  <si>
    <t>Row integrity</t>
  </si>
  <si>
    <t>Sort entire tables/rows, never a single column. Keep case_id stable. Add source Cases first, then Clinical review and observation rows with the same ID.</t>
  </si>
  <si>
    <t>Claim limit</t>
  </si>
  <si>
    <t>Results measure agreement with clinician-reviewed simulated examples. They do not establish clinical validity, patient benefit, real-world calibration, or HIPAA compliance.</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</si>
</sst>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rlito"/>
      <scheme val="minor"/>
    </font>
    <font>
      <sz val="11.0"/>
      <color rgb="FF202A34"/>
      <name val="Arial"/>
    </font>
    <font>
      <b/>
      <sz val="16.0"/>
      <color theme="1"/>
      <name val="Carlito"/>
      <scheme val="minor"/>
    </font>
    <font>
      <b/>
      <sz val="16.0"/>
      <color rgb="FF202A34"/>
      <name val="Arial"/>
    </font>
    <font>
      <sz val="11.0"/>
      <color rgb="FF000000"/>
      <name val="Arial"/>
    </font>
    <font>
      <b/>
      <sz val="11.0"/>
      <color rgb="FFFFFFFF"/>
      <name val="Arial"/>
    </font>
    <font>
      <b/>
      <sz val="12.0"/>
      <color rgb="FF000000"/>
      <name val="Arial"/>
    </font>
    <font>
      <b/>
      <sz val="11.0"/>
      <color rgb="FF202A34"/>
      <name val="Arial"/>
    </font>
    <font>
      <sz val="11.0"/>
      <color theme="1"/>
      <name val="Carlito"/>
    </font>
    <font>
      <color theme="1"/>
      <name val="Carlito"/>
      <scheme val="minor"/>
    </font>
  </fonts>
  <fills count="8">
    <fill>
      <patternFill patternType="none"/>
    </fill>
    <fill>
      <patternFill patternType="lightGray"/>
    </fill>
    <fill>
      <patternFill patternType="solid">
        <fgColor rgb="FFFFFFFF"/>
        <bgColor rgb="FFFFFFFF"/>
      </patternFill>
    </fill>
    <fill>
      <patternFill patternType="solid">
        <fgColor rgb="FF233F59"/>
        <bgColor rgb="FF233F59"/>
      </patternFill>
    </fill>
    <fill>
      <patternFill patternType="solid">
        <fgColor rgb="FFF2F2F2"/>
        <bgColor rgb="FFF2F2F2"/>
      </patternFill>
    </fill>
    <fill>
      <patternFill patternType="solid">
        <fgColor rgb="FFFFF7CC"/>
        <bgColor rgb="FFFFF7CC"/>
      </patternFill>
    </fill>
    <fill>
      <patternFill patternType="solid">
        <fgColor rgb="FFEDF1F4"/>
        <bgColor rgb="FFEDF1F4"/>
      </patternFill>
    </fill>
    <fill>
      <patternFill patternType="solid">
        <fgColor rgb="FFFFF5D9"/>
        <bgColor rgb="FFFFF5D9"/>
      </patternFill>
    </fill>
  </fills>
  <borders count="2">
    <border/>
    <border>
      <bottom style="thin">
        <color rgb="FFCCCCCC"/>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vertical="center"/>
    </xf>
    <xf borderId="0" fillId="2" fontId="2" numFmtId="0" xfId="0" applyAlignment="1" applyFill="1" applyFont="1">
      <alignment readingOrder="0" shrinkToFit="0" vertical="top" wrapText="1"/>
    </xf>
    <xf borderId="0" fillId="0" fontId="3" numFmtId="0" xfId="0" applyAlignment="1" applyFont="1">
      <alignment vertical="center"/>
    </xf>
    <xf borderId="0" fillId="2" fontId="4" numFmtId="0" xfId="0" applyAlignment="1" applyFill="1" applyFont="1">
      <alignment readingOrder="0" shrinkToFit="0" vertical="top" wrapText="1"/>
    </xf>
    <xf borderId="0" fillId="3" fontId="5" numFmtId="0" xfId="0" applyAlignment="1" applyFill="1" applyFont="1">
      <alignment vertical="center"/>
    </xf>
    <xf borderId="0" fillId="4" fontId="6" numFmtId="0" xfId="0" applyAlignment="1" applyFill="1" applyFont="1">
      <alignment readingOrder="0" shrinkToFit="0" vertical="top" wrapText="1"/>
    </xf>
    <xf borderId="0" fillId="0" fontId="7" numFmtId="0" xfId="0" applyAlignment="1" applyFont="1">
      <alignment vertical="center"/>
    </xf>
    <xf borderId="0" fillId="3" fontId="5" numFmtId="0" xfId="0" applyAlignment="1" applyFill="1" applyFont="1">
      <alignment horizontal="center" shrinkToFit="0" vertical="center" wrapText="1"/>
    </xf>
    <xf borderId="1" fillId="5" fontId="4" numFmtId="0" xfId="0" applyAlignment="1" applyBorder="1" applyFill="1" applyFont="1">
      <alignment readingOrder="0" shrinkToFit="0" vertical="top" wrapText="1"/>
    </xf>
    <xf borderId="0" fillId="6" fontId="1" numFmtId="0" xfId="0" applyAlignment="1" applyFill="1" applyFont="1">
      <alignment vertical="center"/>
    </xf>
    <xf borderId="0" fillId="7" fontId="1" numFmtId="0" xfId="0" applyAlignment="1" applyFill="1" applyFont="1">
      <alignment readingOrder="0" vertical="center"/>
    </xf>
    <xf borderId="0" fillId="2" fontId="4" numFmtId="0" xfId="0" applyAlignment="1" applyFill="1" applyFont="1">
      <alignment shrinkToFit="0" vertical="top" wrapText="1"/>
    </xf>
    <xf borderId="0" fillId="7" fontId="1" numFmtId="0" xfId="0" applyAlignment="1" applyFill="1" applyFont="1">
      <alignment vertical="center"/>
    </xf>
    <xf borderId="0" fillId="0" fontId="1" numFmtId="0" xfId="0" applyAlignment="1" applyFont="1">
      <alignment shrinkToFit="0" vertical="center" wrapText="1"/>
    </xf>
    <xf borderId="0" fillId="7" fontId="1" numFmtId="0" xfId="0" applyAlignment="1" applyFill="1" applyFont="1">
      <alignment shrinkToFit="0" vertical="center" wrapText="1"/>
    </xf>
    <xf borderId="0" fillId="6" fontId="1" numFmtId="9" xfId="0" applyAlignment="1" applyFill="1" applyFont="1" applyNumberFormat="1">
      <alignment vertical="center"/>
    </xf>
    <xf borderId="0" fillId="7" fontId="8" numFmtId="0" xfId="0" applyFill="1" applyFont="1"/>
    <xf borderId="0" fillId="7" fontId="8" numFmtId="0" xfId="0" applyAlignment="1" applyFill="1" applyFont="1">
      <alignment shrinkToFit="0" wrapText="1"/>
    </xf>
    <xf borderId="0" fillId="0" fontId="9" numFmtId="0" xfId="0" applyFont="1"/>
    <xf borderId="0" fillId="6" fontId="8" numFmtId="0" xfId="0" applyFill="1" applyFont="1"/>
  </cellXfs>
  <cellStyles count="1">
    <cellStyle xfId="0" name="Normal" builtinId="0"/>
  </cellStyles>
  <dxfs count="1">
    <dxf>
      <font>
        <color rgb="FF9B2929"/>
      </font>
      <fill>
        <patternFill patternType="solid">
          <fgColor rgb="FFFCE6E6"/>
          <bgColor rgb="FFFCE6E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30.13"/>
    <col customWidth="1" min="2" max="2" width="83.88"/>
  </cols>
  <sheetData>
    <row r="1" ht="27.0" customHeight="1">
      <c r="A1" s="2" t="s">
        <v>1</v>
      </c>
    </row>
    <row r="2" ht="27.0" customHeight="1">
      <c r="A2" s="4" t="s">
        <v>3</v>
      </c>
    </row>
    <row r="3" ht="27.0" customHeight="1">
      <c r="A3" s="4" t="s">
        <v>5</v>
      </c>
    </row>
    <row r="4" ht="31.5" customHeight="1">
      <c r="A4" s="4" t="s">
        <v>7</v>
      </c>
    </row>
    <row r="5" ht="27.0" customHeight="1">
      <c r="A5" s="4" t="s">
        <v>10</v>
      </c>
      <c r="B5" s="12" t="str">
        <f>COUNTIF(B14,"Done")+COUNTIF(B23,"Done")+COUNTIF(B32,"Done")+COUNTIF(B41,"Done")+COUNTIF(B50,"Done")+COUNTIF(B59,"Done")+COUNTIF(B68,"Done")+COUNTIF(B77,"Done")+COUNTIF(B86,"Done")+COUNTIF(B95,"Done")&amp;" / 10"</f>
        <v>0 / 10</v>
      </c>
    </row>
    <row r="6" ht="10.5" customHeight="1">
      <c r="A6" s="4" t="s">
        <v>11</v>
      </c>
      <c r="B6" s="4" t="s">
        <v>11</v>
      </c>
    </row>
    <row r="7" ht="27.0" customHeight="1">
      <c r="A7" s="6" t="s">
        <v>59</v>
      </c>
    </row>
    <row r="8" ht="52.5" customHeight="1">
      <c r="A8" s="4" t="s">
        <v>18</v>
      </c>
      <c r="B8" s="4" t="s">
        <v>19</v>
      </c>
    </row>
    <row r="9" ht="82.5" customHeight="1">
      <c r="A9" s="4" t="s">
        <v>20</v>
      </c>
      <c r="B9" s="4" t="s">
        <v>21</v>
      </c>
    </row>
    <row r="10" ht="63.75" customHeight="1">
      <c r="A10" s="4" t="s">
        <v>64</v>
      </c>
      <c r="B10" s="9" t="s">
        <v>11</v>
      </c>
    </row>
    <row r="11" ht="27.0" customHeight="1">
      <c r="A11" s="4" t="s">
        <v>65</v>
      </c>
      <c r="B11" s="9" t="s">
        <v>11</v>
      </c>
    </row>
    <row r="12" ht="48.75" customHeight="1">
      <c r="A12" s="4" t="s">
        <v>66</v>
      </c>
      <c r="B12" s="9" t="s">
        <v>11</v>
      </c>
    </row>
    <row r="13" ht="27.0" customHeight="1">
      <c r="A13" s="4" t="s">
        <v>67</v>
      </c>
      <c r="B13" s="9" t="s">
        <v>11</v>
      </c>
    </row>
    <row r="14" ht="27.0" customHeight="1">
      <c r="A14" s="4" t="s">
        <v>50</v>
      </c>
      <c r="B14" s="9" t="s">
        <v>49</v>
      </c>
    </row>
    <row r="15" ht="10.5" customHeight="1">
      <c r="A15" s="4" t="s">
        <v>11</v>
      </c>
      <c r="B15" s="4" t="s">
        <v>11</v>
      </c>
    </row>
    <row r="16" ht="27.0" customHeight="1">
      <c r="A16" s="6" t="s">
        <v>70</v>
      </c>
    </row>
    <row r="17" ht="52.5" customHeight="1">
      <c r="A17" s="4" t="s">
        <v>18</v>
      </c>
      <c r="B17" s="4" t="s">
        <v>53</v>
      </c>
    </row>
    <row r="18" ht="82.5" customHeight="1">
      <c r="A18" s="4" t="s">
        <v>20</v>
      </c>
      <c r="B18" s="4" t="s">
        <v>54</v>
      </c>
    </row>
    <row r="19" ht="63.75" customHeight="1">
      <c r="A19" s="4" t="s">
        <v>64</v>
      </c>
      <c r="B19" s="9" t="s">
        <v>11</v>
      </c>
    </row>
    <row r="20" ht="27.0" customHeight="1">
      <c r="A20" s="4" t="s">
        <v>65</v>
      </c>
      <c r="B20" s="9" t="s">
        <v>11</v>
      </c>
    </row>
    <row r="21" ht="48.75" customHeight="1">
      <c r="A21" s="4" t="s">
        <v>66</v>
      </c>
      <c r="B21" s="9" t="s">
        <v>11</v>
      </c>
    </row>
    <row r="22" ht="27.0" customHeight="1">
      <c r="A22" s="4" t="s">
        <v>67</v>
      </c>
      <c r="B22" s="9" t="s">
        <v>11</v>
      </c>
    </row>
    <row r="23" ht="27.0" customHeight="1">
      <c r="A23" s="4" t="s">
        <v>50</v>
      </c>
      <c r="B23" s="9" t="s">
        <v>49</v>
      </c>
    </row>
    <row r="24" ht="10.5" customHeight="1">
      <c r="A24" s="4" t="s">
        <v>11</v>
      </c>
      <c r="B24" s="4" t="s">
        <v>11</v>
      </c>
    </row>
    <row r="25" ht="27.0" customHeight="1">
      <c r="A25" s="6" t="s">
        <v>73</v>
      </c>
    </row>
    <row r="26" ht="52.5" customHeight="1">
      <c r="A26" s="4" t="s">
        <v>18</v>
      </c>
      <c r="B26" s="4" t="s">
        <v>74</v>
      </c>
    </row>
    <row r="27" ht="82.5" customHeight="1">
      <c r="A27" s="4" t="s">
        <v>20</v>
      </c>
      <c r="B27" s="4" t="s">
        <v>75</v>
      </c>
    </row>
    <row r="28" ht="63.75" customHeight="1">
      <c r="A28" s="4" t="s">
        <v>64</v>
      </c>
      <c r="B28" s="9" t="s">
        <v>11</v>
      </c>
    </row>
    <row r="29" ht="27.0" customHeight="1">
      <c r="A29" s="4" t="s">
        <v>65</v>
      </c>
      <c r="B29" s="9" t="s">
        <v>11</v>
      </c>
    </row>
    <row r="30" ht="48.75" customHeight="1">
      <c r="A30" s="4" t="s">
        <v>66</v>
      </c>
      <c r="B30" s="9" t="s">
        <v>11</v>
      </c>
    </row>
    <row r="31" ht="27.0" customHeight="1">
      <c r="A31" s="4" t="s">
        <v>67</v>
      </c>
      <c r="B31" s="9" t="s">
        <v>11</v>
      </c>
    </row>
    <row r="32" ht="27.0" customHeight="1">
      <c r="A32" s="4" t="s">
        <v>50</v>
      </c>
      <c r="B32" s="9" t="s">
        <v>49</v>
      </c>
    </row>
    <row r="33" ht="10.5" customHeight="1">
      <c r="A33" s="4" t="s">
        <v>11</v>
      </c>
      <c r="B33" s="4" t="s">
        <v>11</v>
      </c>
    </row>
    <row r="34" ht="27.0" customHeight="1">
      <c r="A34" s="6" t="s">
        <v>78</v>
      </c>
    </row>
    <row r="35" ht="52.5" customHeight="1">
      <c r="A35" s="4" t="s">
        <v>18</v>
      </c>
      <c r="B35" s="4" t="s">
        <v>19</v>
      </c>
    </row>
    <row r="36" ht="82.5" customHeight="1">
      <c r="A36" s="4" t="s">
        <v>20</v>
      </c>
      <c r="B36" s="4" t="s">
        <v>32</v>
      </c>
    </row>
    <row r="37" ht="63.75" customHeight="1">
      <c r="A37" s="4" t="s">
        <v>64</v>
      </c>
      <c r="B37" s="9" t="s">
        <v>11</v>
      </c>
    </row>
    <row r="38" ht="27.0" customHeight="1">
      <c r="A38" s="4" t="s">
        <v>65</v>
      </c>
      <c r="B38" s="9" t="s">
        <v>11</v>
      </c>
    </row>
    <row r="39" ht="48.75" customHeight="1">
      <c r="A39" s="4" t="s">
        <v>66</v>
      </c>
      <c r="B39" s="9" t="s">
        <v>11</v>
      </c>
    </row>
    <row r="40" ht="27.0" customHeight="1">
      <c r="A40" s="4" t="s">
        <v>67</v>
      </c>
      <c r="B40" s="9" t="s">
        <v>11</v>
      </c>
    </row>
    <row r="41" ht="27.0" customHeight="1">
      <c r="A41" s="4" t="s">
        <v>50</v>
      </c>
      <c r="B41" s="9" t="s">
        <v>49</v>
      </c>
    </row>
    <row r="42" ht="10.5" customHeight="1">
      <c r="A42" s="4" t="s">
        <v>11</v>
      </c>
      <c r="B42" s="4" t="s">
        <v>11</v>
      </c>
    </row>
    <row r="43" ht="27.0" customHeight="1">
      <c r="A43" s="6" t="s">
        <v>81</v>
      </c>
    </row>
    <row r="44" ht="52.5" customHeight="1">
      <c r="A44" s="4" t="s">
        <v>18</v>
      </c>
      <c r="B44" s="4" t="s">
        <v>84</v>
      </c>
    </row>
    <row r="45" ht="82.5" customHeight="1">
      <c r="A45" s="4" t="s">
        <v>20</v>
      </c>
      <c r="B45" s="4" t="s">
        <v>85</v>
      </c>
    </row>
    <row r="46" ht="63.75" customHeight="1">
      <c r="A46" s="4" t="s">
        <v>64</v>
      </c>
      <c r="B46" s="9" t="s">
        <v>11</v>
      </c>
    </row>
    <row r="47" ht="27.0" customHeight="1">
      <c r="A47" s="4" t="s">
        <v>65</v>
      </c>
      <c r="B47" s="9" t="s">
        <v>11</v>
      </c>
    </row>
    <row r="48" ht="48.75" customHeight="1">
      <c r="A48" s="4" t="s">
        <v>66</v>
      </c>
      <c r="B48" s="9" t="s">
        <v>11</v>
      </c>
    </row>
    <row r="49" ht="27.0" customHeight="1">
      <c r="A49" s="4" t="s">
        <v>67</v>
      </c>
      <c r="B49" s="9" t="s">
        <v>11</v>
      </c>
    </row>
    <row r="50" ht="27.0" customHeight="1">
      <c r="A50" s="4" t="s">
        <v>50</v>
      </c>
      <c r="B50" s="9" t="s">
        <v>49</v>
      </c>
    </row>
    <row r="51" ht="10.5" customHeight="1">
      <c r="A51" s="4" t="s">
        <v>11</v>
      </c>
      <c r="B51" s="4" t="s">
        <v>11</v>
      </c>
    </row>
    <row r="52" ht="27.0" customHeight="1">
      <c r="A52" s="6" t="s">
        <v>97</v>
      </c>
    </row>
    <row r="53" ht="52.5" customHeight="1">
      <c r="A53" s="4" t="s">
        <v>18</v>
      </c>
      <c r="B53" s="4" t="s">
        <v>99</v>
      </c>
    </row>
    <row r="54" ht="82.5" customHeight="1">
      <c r="A54" s="4" t="s">
        <v>20</v>
      </c>
      <c r="B54" s="4" t="s">
        <v>101</v>
      </c>
    </row>
    <row r="55" ht="63.75" customHeight="1">
      <c r="A55" s="4" t="s">
        <v>64</v>
      </c>
      <c r="B55" s="9" t="s">
        <v>11</v>
      </c>
    </row>
    <row r="56" ht="27.0" customHeight="1">
      <c r="A56" s="4" t="s">
        <v>65</v>
      </c>
      <c r="B56" s="9" t="s">
        <v>11</v>
      </c>
    </row>
    <row r="57" ht="48.75" customHeight="1">
      <c r="A57" s="4" t="s">
        <v>66</v>
      </c>
      <c r="B57" s="9" t="s">
        <v>11</v>
      </c>
    </row>
    <row r="58" ht="27.0" customHeight="1">
      <c r="A58" s="4" t="s">
        <v>67</v>
      </c>
      <c r="B58" s="9" t="s">
        <v>11</v>
      </c>
    </row>
    <row r="59" ht="27.0" customHeight="1">
      <c r="A59" s="4" t="s">
        <v>50</v>
      </c>
      <c r="B59" s="9" t="s">
        <v>49</v>
      </c>
    </row>
    <row r="60" ht="10.5" customHeight="1">
      <c r="A60" s="4" t="s">
        <v>11</v>
      </c>
      <c r="B60" s="4" t="s">
        <v>11</v>
      </c>
    </row>
    <row r="61" ht="27.0" customHeight="1">
      <c r="A61" s="6" t="s">
        <v>111</v>
      </c>
    </row>
    <row r="62" ht="52.5" customHeight="1">
      <c r="A62" s="4" t="s">
        <v>18</v>
      </c>
      <c r="B62" s="4" t="s">
        <v>19</v>
      </c>
    </row>
    <row r="63" ht="82.5" customHeight="1">
      <c r="A63" s="4" t="s">
        <v>20</v>
      </c>
      <c r="B63" s="4" t="s">
        <v>44</v>
      </c>
    </row>
    <row r="64" ht="63.75" customHeight="1">
      <c r="A64" s="4" t="s">
        <v>64</v>
      </c>
      <c r="B64" s="9" t="s">
        <v>11</v>
      </c>
    </row>
    <row r="65" ht="27.0" customHeight="1">
      <c r="A65" s="4" t="s">
        <v>65</v>
      </c>
      <c r="B65" s="9" t="s">
        <v>11</v>
      </c>
    </row>
    <row r="66" ht="48.75" customHeight="1">
      <c r="A66" s="4" t="s">
        <v>66</v>
      </c>
      <c r="B66" s="9" t="s">
        <v>11</v>
      </c>
    </row>
    <row r="67" ht="27.0" customHeight="1">
      <c r="A67" s="4" t="s">
        <v>67</v>
      </c>
      <c r="B67" s="9" t="s">
        <v>11</v>
      </c>
    </row>
    <row r="68" ht="27.0" customHeight="1">
      <c r="A68" s="4" t="s">
        <v>50</v>
      </c>
      <c r="B68" s="9" t="s">
        <v>49</v>
      </c>
    </row>
    <row r="69" ht="10.5" customHeight="1">
      <c r="A69" s="4" t="s">
        <v>11</v>
      </c>
      <c r="B69" s="4" t="s">
        <v>11</v>
      </c>
    </row>
    <row r="70" ht="27.0" customHeight="1">
      <c r="A70" s="6" t="s">
        <v>117</v>
      </c>
    </row>
    <row r="71" ht="52.5" customHeight="1">
      <c r="A71" s="4" t="s">
        <v>18</v>
      </c>
      <c r="B71" s="4" t="s">
        <v>56</v>
      </c>
    </row>
    <row r="72" ht="82.5" customHeight="1">
      <c r="A72" s="4" t="s">
        <v>20</v>
      </c>
      <c r="B72" s="4" t="s">
        <v>58</v>
      </c>
    </row>
    <row r="73" ht="63.75" customHeight="1">
      <c r="A73" s="4" t="s">
        <v>64</v>
      </c>
      <c r="B73" s="9" t="s">
        <v>11</v>
      </c>
    </row>
    <row r="74" ht="27.0" customHeight="1">
      <c r="A74" s="4" t="s">
        <v>65</v>
      </c>
      <c r="B74" s="9" t="s">
        <v>11</v>
      </c>
    </row>
    <row r="75" ht="48.75" customHeight="1">
      <c r="A75" s="4" t="s">
        <v>66</v>
      </c>
      <c r="B75" s="9" t="s">
        <v>11</v>
      </c>
    </row>
    <row r="76" ht="27.0" customHeight="1">
      <c r="A76" s="4" t="s">
        <v>67</v>
      </c>
      <c r="B76" s="9" t="s">
        <v>11</v>
      </c>
    </row>
    <row r="77" ht="27.0" customHeight="1">
      <c r="A77" s="4" t="s">
        <v>50</v>
      </c>
      <c r="B77" s="9" t="s">
        <v>49</v>
      </c>
    </row>
    <row r="78" ht="10.5" customHeight="1">
      <c r="A78" s="4" t="s">
        <v>11</v>
      </c>
      <c r="B78" s="4" t="s">
        <v>11</v>
      </c>
    </row>
    <row r="79" ht="27.0" customHeight="1">
      <c r="A79" s="6" t="s">
        <v>120</v>
      </c>
    </row>
    <row r="80" ht="52.5" customHeight="1">
      <c r="A80" s="4" t="s">
        <v>18</v>
      </c>
      <c r="B80" s="4" t="s">
        <v>121</v>
      </c>
    </row>
    <row r="81" ht="82.5" customHeight="1">
      <c r="A81" s="4" t="s">
        <v>20</v>
      </c>
      <c r="B81" s="4" t="s">
        <v>122</v>
      </c>
    </row>
    <row r="82" ht="63.75" customHeight="1">
      <c r="A82" s="4" t="s">
        <v>64</v>
      </c>
      <c r="B82" s="9" t="s">
        <v>11</v>
      </c>
    </row>
    <row r="83" ht="27.0" customHeight="1">
      <c r="A83" s="4" t="s">
        <v>65</v>
      </c>
      <c r="B83" s="9" t="s">
        <v>11</v>
      </c>
    </row>
    <row r="84" ht="48.75" customHeight="1">
      <c r="A84" s="4" t="s">
        <v>66</v>
      </c>
      <c r="B84" s="9" t="s">
        <v>11</v>
      </c>
    </row>
    <row r="85" ht="27.0" customHeight="1">
      <c r="A85" s="4" t="s">
        <v>67</v>
      </c>
      <c r="B85" s="9" t="s">
        <v>11</v>
      </c>
    </row>
    <row r="86" ht="27.0" customHeight="1">
      <c r="A86" s="4" t="s">
        <v>50</v>
      </c>
      <c r="B86" s="9" t="s">
        <v>49</v>
      </c>
    </row>
    <row r="87" ht="10.5" customHeight="1">
      <c r="A87" s="4" t="s">
        <v>11</v>
      </c>
      <c r="B87" s="4" t="s">
        <v>11</v>
      </c>
    </row>
    <row r="88" ht="27.0" customHeight="1">
      <c r="A88" s="6" t="s">
        <v>125</v>
      </c>
    </row>
    <row r="89" ht="52.5" customHeight="1">
      <c r="A89" s="4" t="s">
        <v>18</v>
      </c>
      <c r="B89" s="4" t="s">
        <v>62</v>
      </c>
    </row>
    <row r="90" ht="82.5" customHeight="1">
      <c r="A90" s="4" t="s">
        <v>20</v>
      </c>
      <c r="B90" s="4" t="s">
        <v>63</v>
      </c>
    </row>
    <row r="91" ht="63.75" customHeight="1">
      <c r="A91" s="4" t="s">
        <v>64</v>
      </c>
      <c r="B91" s="9" t="s">
        <v>11</v>
      </c>
    </row>
    <row r="92" ht="27.0" customHeight="1">
      <c r="A92" s="4" t="s">
        <v>65</v>
      </c>
      <c r="B92" s="9" t="s">
        <v>11</v>
      </c>
    </row>
    <row r="93" ht="48.75" customHeight="1">
      <c r="A93" s="4" t="s">
        <v>66</v>
      </c>
      <c r="B93" s="9" t="s">
        <v>11</v>
      </c>
    </row>
    <row r="94" ht="27.0" customHeight="1">
      <c r="A94" s="4" t="s">
        <v>67</v>
      </c>
      <c r="B94" s="9" t="s">
        <v>11</v>
      </c>
    </row>
    <row r="95" ht="27.0" customHeight="1">
      <c r="A95" s="4" t="s">
        <v>50</v>
      </c>
      <c r="B95" s="9" t="s">
        <v>49</v>
      </c>
    </row>
    <row r="96" ht="10.5" customHeight="1">
      <c r="A96" s="4" t="s">
        <v>11</v>
      </c>
      <c r="B96" s="4" t="s">
        <v>11</v>
      </c>
    </row>
    <row r="97" ht="27.0" customHeight="1">
      <c r="A97" s="12"/>
      <c r="B97" s="12"/>
    </row>
    <row r="98" ht="27.0" customHeight="1">
      <c r="A98" s="12"/>
      <c r="B98" s="12"/>
    </row>
    <row r="99" ht="27.0" customHeight="1">
      <c r="A99" s="12"/>
      <c r="B99" s="12"/>
    </row>
    <row r="100" ht="27.0" customHeight="1">
      <c r="A100" s="12"/>
      <c r="B100" s="12"/>
    </row>
  </sheetData>
  <mergeCells count="14">
    <mergeCell ref="A34:B34"/>
    <mergeCell ref="A43:B43"/>
    <mergeCell ref="A52:B52"/>
    <mergeCell ref="A61:B61"/>
    <mergeCell ref="A70:B70"/>
    <mergeCell ref="A79:B79"/>
    <mergeCell ref="A88:B88"/>
    <mergeCell ref="A1:B1"/>
    <mergeCell ref="A2:B2"/>
    <mergeCell ref="A3:B3"/>
    <mergeCell ref="A4:B4"/>
    <mergeCell ref="A7:B7"/>
    <mergeCell ref="A16:B16"/>
    <mergeCell ref="A25:B25"/>
  </mergeCells>
  <dataValidations>
    <dataValidation type="list" allowBlank="1" showErrorMessage="1" sqref="B14 B23 B32 B41 B50 B59 B68 B77 B86 B95">
      <formula1>"Not started,Done,Question for team"</formula1>
    </dataValidation>
    <dataValidation type="list" allowBlank="1" showErrorMessage="1" sqref="B11 B20 B29 B38 B47 B56 B65 B74 B83 B92">
      <formula1>"Yes,No,Unclear,No earlier report"</formula1>
    </dataValidation>
    <dataValidation type="list" allowBlank="1" showErrorMessage="1" sqref="B13 B22 B31 B40 B49 B58 B67 B76 B85 B94">
      <formula1>"Prepare now,Can wait,Routine,Unsure"</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30.13"/>
    <col customWidth="1" min="2" max="2" width="83.88"/>
  </cols>
  <sheetData>
    <row r="1" ht="31.5" customHeight="1">
      <c r="A1" s="2" t="s">
        <v>0</v>
      </c>
    </row>
    <row r="2" ht="31.5" customHeight="1">
      <c r="A2" s="4" t="s">
        <v>4</v>
      </c>
    </row>
    <row r="3" ht="27.0" customHeight="1">
      <c r="A3" s="4" t="s">
        <v>8</v>
      </c>
    </row>
    <row r="4" ht="27.0" customHeight="1">
      <c r="A4" s="4" t="s">
        <v>9</v>
      </c>
    </row>
    <row r="5" ht="10.5" customHeight="1">
      <c r="A5" s="4" t="s">
        <v>11</v>
      </c>
      <c r="B5" s="4" t="s">
        <v>11</v>
      </c>
    </row>
    <row r="6" ht="31.5" customHeight="1">
      <c r="A6" s="6" t="s">
        <v>12</v>
      </c>
    </row>
    <row r="7" ht="27.0" customHeight="1">
      <c r="A7" s="6" t="s">
        <v>16</v>
      </c>
    </row>
    <row r="8" ht="52.5" customHeight="1">
      <c r="A8" s="4" t="s">
        <v>18</v>
      </c>
      <c r="B8" s="4" t="s">
        <v>19</v>
      </c>
    </row>
    <row r="9" ht="82.5" customHeight="1">
      <c r="A9" s="4" t="s">
        <v>20</v>
      </c>
      <c r="B9" s="4" t="s">
        <v>21</v>
      </c>
    </row>
    <row r="10" ht="27.0" customHeight="1">
      <c r="A10" s="4" t="s">
        <v>22</v>
      </c>
      <c r="B10" s="9" t="s">
        <v>11</v>
      </c>
    </row>
    <row r="11" ht="27.0" customHeight="1">
      <c r="A11" s="6" t="s">
        <v>27</v>
      </c>
    </row>
    <row r="12" ht="52.5" customHeight="1">
      <c r="A12" s="4" t="s">
        <v>18</v>
      </c>
      <c r="B12" s="4" t="s">
        <v>19</v>
      </c>
    </row>
    <row r="13" ht="82.5" customHeight="1">
      <c r="A13" s="4" t="s">
        <v>20</v>
      </c>
      <c r="B13" s="4" t="s">
        <v>32</v>
      </c>
    </row>
    <row r="14" ht="27.0" customHeight="1">
      <c r="A14" s="4" t="s">
        <v>22</v>
      </c>
      <c r="B14" s="9" t="s">
        <v>11</v>
      </c>
    </row>
    <row r="15" ht="27.0" customHeight="1">
      <c r="A15" s="6" t="s">
        <v>38</v>
      </c>
    </row>
    <row r="16" ht="52.5" customHeight="1">
      <c r="A16" s="4" t="s">
        <v>18</v>
      </c>
      <c r="B16" s="4" t="s">
        <v>19</v>
      </c>
    </row>
    <row r="17" ht="82.5" customHeight="1">
      <c r="A17" s="4" t="s">
        <v>20</v>
      </c>
      <c r="B17" s="4" t="s">
        <v>44</v>
      </c>
    </row>
    <row r="18" ht="27.0" customHeight="1">
      <c r="A18" s="4" t="s">
        <v>22</v>
      </c>
      <c r="B18" s="9" t="s">
        <v>11</v>
      </c>
    </row>
    <row r="19" ht="63.75" customHeight="1">
      <c r="A19" s="4" t="s">
        <v>48</v>
      </c>
      <c r="B19" s="9" t="s">
        <v>11</v>
      </c>
    </row>
    <row r="20" ht="27.0" customHeight="1">
      <c r="A20" s="4" t="s">
        <v>50</v>
      </c>
      <c r="B20" s="9" t="s">
        <v>49</v>
      </c>
    </row>
    <row r="21" ht="10.5" customHeight="1">
      <c r="A21" s="4" t="s">
        <v>11</v>
      </c>
      <c r="B21" s="4" t="s">
        <v>11</v>
      </c>
    </row>
    <row r="22" ht="31.5" customHeight="1">
      <c r="A22" s="6" t="s">
        <v>51</v>
      </c>
    </row>
    <row r="23" ht="27.0" customHeight="1">
      <c r="A23" s="6" t="s">
        <v>52</v>
      </c>
    </row>
    <row r="24" ht="52.5" customHeight="1">
      <c r="A24" s="4" t="s">
        <v>18</v>
      </c>
      <c r="B24" s="4" t="s">
        <v>53</v>
      </c>
    </row>
    <row r="25" ht="82.5" customHeight="1">
      <c r="A25" s="4" t="s">
        <v>20</v>
      </c>
      <c r="B25" s="4" t="s">
        <v>54</v>
      </c>
    </row>
    <row r="26" ht="27.0" customHeight="1">
      <c r="A26" s="4" t="s">
        <v>22</v>
      </c>
      <c r="B26" s="9" t="s">
        <v>11</v>
      </c>
    </row>
    <row r="27" ht="27.0" customHeight="1">
      <c r="A27" s="6" t="s">
        <v>55</v>
      </c>
    </row>
    <row r="28" ht="52.5" customHeight="1">
      <c r="A28" s="4" t="s">
        <v>18</v>
      </c>
      <c r="B28" s="4" t="s">
        <v>56</v>
      </c>
    </row>
    <row r="29" ht="82.5" customHeight="1">
      <c r="A29" s="4" t="s">
        <v>20</v>
      </c>
      <c r="B29" s="4" t="s">
        <v>58</v>
      </c>
    </row>
    <row r="30" ht="27.0" customHeight="1">
      <c r="A30" s="4" t="s">
        <v>22</v>
      </c>
      <c r="B30" s="9" t="s">
        <v>11</v>
      </c>
    </row>
    <row r="31" ht="27.0" customHeight="1">
      <c r="A31" s="6" t="s">
        <v>60</v>
      </c>
    </row>
    <row r="32" ht="52.5" customHeight="1">
      <c r="A32" s="4" t="s">
        <v>18</v>
      </c>
      <c r="B32" s="4" t="s">
        <v>62</v>
      </c>
    </row>
    <row r="33" ht="82.5" customHeight="1">
      <c r="A33" s="4" t="s">
        <v>20</v>
      </c>
      <c r="B33" s="4" t="s">
        <v>63</v>
      </c>
    </row>
    <row r="34" ht="27.0" customHeight="1">
      <c r="A34" s="4" t="s">
        <v>22</v>
      </c>
      <c r="B34" s="9" t="s">
        <v>11</v>
      </c>
    </row>
    <row r="35" ht="63.75" customHeight="1">
      <c r="A35" s="4" t="s">
        <v>48</v>
      </c>
      <c r="B35" s="9" t="s">
        <v>11</v>
      </c>
    </row>
    <row r="36" ht="27.0" customHeight="1">
      <c r="A36" s="4" t="s">
        <v>50</v>
      </c>
      <c r="B36" s="9" t="s">
        <v>49</v>
      </c>
    </row>
    <row r="37" ht="10.5" customHeight="1">
      <c r="A37" s="4" t="s">
        <v>11</v>
      </c>
      <c r="B37" s="4" t="s">
        <v>11</v>
      </c>
    </row>
    <row r="38" ht="27.0" customHeight="1">
      <c r="A38" s="12"/>
      <c r="B38" s="12"/>
    </row>
    <row r="39" ht="27.0" customHeight="1">
      <c r="A39" s="12"/>
      <c r="B39" s="12"/>
    </row>
    <row r="40" ht="27.0" customHeight="1">
      <c r="A40" s="12"/>
      <c r="B40" s="12"/>
    </row>
    <row r="41" ht="27.0" customHeight="1">
      <c r="A41" s="12"/>
      <c r="B41" s="12"/>
    </row>
    <row r="42" ht="27.0" customHeight="1">
      <c r="A42" s="12"/>
      <c r="B42" s="12"/>
    </row>
    <row r="43" ht="27.0" customHeight="1">
      <c r="A43" s="12"/>
      <c r="B43" s="12"/>
    </row>
    <row r="44" ht="27.0" customHeight="1">
      <c r="A44" s="12"/>
      <c r="B44" s="12"/>
    </row>
    <row r="45" ht="27.0" customHeight="1">
      <c r="A45" s="12"/>
      <c r="B45" s="12"/>
    </row>
    <row r="46" ht="27.0" customHeight="1">
      <c r="A46" s="12"/>
      <c r="B46" s="12"/>
    </row>
    <row r="47" ht="27.0" customHeight="1">
      <c r="A47" s="12"/>
      <c r="B47" s="12"/>
    </row>
    <row r="48" ht="27.0" customHeight="1">
      <c r="A48" s="12"/>
      <c r="B48" s="12"/>
    </row>
    <row r="49" ht="27.0" customHeight="1">
      <c r="A49" s="12"/>
      <c r="B49" s="12"/>
    </row>
    <row r="50" ht="27.0" customHeight="1">
      <c r="A50" s="12"/>
      <c r="B50" s="12"/>
    </row>
  </sheetData>
  <mergeCells count="12">
    <mergeCell ref="A15:B15"/>
    <mergeCell ref="A22:B22"/>
    <mergeCell ref="A23:B23"/>
    <mergeCell ref="A27:B27"/>
    <mergeCell ref="A31:B31"/>
    <mergeCell ref="A1:B1"/>
    <mergeCell ref="A2:B2"/>
    <mergeCell ref="A3:B3"/>
    <mergeCell ref="A4:B4"/>
    <mergeCell ref="A6:B6"/>
    <mergeCell ref="A7:B7"/>
    <mergeCell ref="A11:B11"/>
  </mergeCells>
  <dataValidations>
    <dataValidation type="list" allowBlank="1" showErrorMessage="1" sqref="B20 B36">
      <formula1>"Not started,Done,Question for team"</formula1>
    </dataValidation>
    <dataValidation type="list" allowBlank="1" showErrorMessage="1" sqref="B10 B14 B18 B26 B30 B34">
      <formula1>"1,2,3,Unsure"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33F59"/>
    <pageSetUpPr/>
  </sheetPr>
  <sheetViews>
    <sheetView showGridLines="0" workbookViewId="0"/>
  </sheetViews>
  <sheetFormatPr customHeight="1" defaultColWidth="12.63" defaultRowHeight="15.0"/>
  <cols>
    <col customWidth="1" min="1" max="1" width="38.0"/>
    <col customWidth="1" min="2" max="2" width="26.0"/>
    <col customWidth="1" min="3" max="3" width="3.0"/>
    <col customWidth="1" min="4" max="6" width="24.0"/>
    <col customWidth="1" min="7" max="26" width="8.63"/>
  </cols>
  <sheetData>
    <row r="1" ht="27.0" customHeight="1">
      <c r="A1" s="1"/>
      <c r="B1" s="1"/>
      <c r="C1" s="1"/>
      <c r="D1" s="1"/>
      <c r="E1" s="1"/>
      <c r="F1" s="1"/>
    </row>
    <row r="2" ht="27.0" customHeight="1">
      <c r="A2" s="3" t="s">
        <v>2</v>
      </c>
      <c r="B2" s="1"/>
      <c r="C2" s="1"/>
      <c r="D2" s="1"/>
      <c r="E2" s="1"/>
      <c r="F2" s="1"/>
    </row>
    <row r="3" ht="27.0" customHeight="1">
      <c r="A3" s="1"/>
      <c r="B3" s="1"/>
      <c r="C3" s="1"/>
      <c r="D3" s="1"/>
      <c r="E3" s="1"/>
      <c r="F3" s="1"/>
    </row>
    <row r="4" ht="27.0" customHeight="1">
      <c r="A4" s="5" t="s">
        <v>6</v>
      </c>
      <c r="B4" s="5" t="s">
        <v>13</v>
      </c>
      <c r="C4" s="1"/>
      <c r="D4" s="7" t="s">
        <v>15</v>
      </c>
      <c r="E4" s="1"/>
      <c r="F4" s="1"/>
    </row>
    <row r="5" ht="27.0" customHeight="1">
      <c r="A5" s="1" t="s">
        <v>17</v>
      </c>
      <c r="B5" s="10">
        <f>COUNTA('Clinical review'!A2:A61)</f>
        <v>10</v>
      </c>
      <c r="C5" s="1"/>
      <c r="D5" s="1"/>
      <c r="E5" s="1"/>
      <c r="F5" s="1"/>
    </row>
    <row r="6" ht="36.0" customHeight="1">
      <c r="A6" s="1" t="s">
        <v>49</v>
      </c>
      <c r="B6" s="10">
        <f>COUNTIFS('Clinical review'!A2:A61,"&lt;&gt;",'Clinical review'!C2:C61,"Not started")</f>
        <v>10</v>
      </c>
      <c r="C6" s="1"/>
      <c r="D6" s="14" t="s">
        <v>57</v>
      </c>
    </row>
    <row r="7" ht="36.0" customHeight="1">
      <c r="A7" s="1" t="s">
        <v>61</v>
      </c>
      <c r="B7" s="10">
        <f>COUNTIFS('Clinical review'!A2:A61,"&lt;&gt;",'Clinical review'!C2:C61,"In progress")</f>
        <v>0</v>
      </c>
      <c r="C7" s="1"/>
      <c r="D7" s="14" t="s">
        <v>68</v>
      </c>
    </row>
    <row r="8" ht="36.0" customHeight="1">
      <c r="A8" s="1" t="s">
        <v>69</v>
      </c>
      <c r="B8" s="10">
        <f>COUNTIFS('Clinical review'!A2:A61,"&lt;&gt;",'Clinical review'!C2:C61,"Needs clarification")</f>
        <v>0</v>
      </c>
      <c r="C8" s="1"/>
      <c r="D8" s="14" t="s">
        <v>71</v>
      </c>
    </row>
    <row r="9" ht="36.0" customHeight="1">
      <c r="A9" s="1" t="s">
        <v>72</v>
      </c>
      <c r="B9" s="10">
        <f>COUNTIFS('Clinical review'!A2:A61,"&lt;&gt;",'Clinical review'!C2:C61,"Completed")</f>
        <v>0</v>
      </c>
      <c r="C9" s="1"/>
      <c r="D9" s="14" t="s">
        <v>76</v>
      </c>
    </row>
    <row r="10" ht="36.0" customHeight="1">
      <c r="A10" s="1" t="s">
        <v>77</v>
      </c>
      <c r="B10" s="10">
        <f>COUNTIFS('Clinical review'!T2:T61,"Yes")</f>
        <v>0</v>
      </c>
      <c r="C10" s="1"/>
      <c r="D10" s="14" t="s">
        <v>79</v>
      </c>
    </row>
    <row r="11" ht="36.0" customHeight="1">
      <c r="A11" s="1" t="s">
        <v>80</v>
      </c>
      <c r="B11" s="16">
        <f>IF(B5=0,"n.a.",B10/B5)</f>
        <v>0</v>
      </c>
      <c r="C11" s="1"/>
      <c r="D11" s="14" t="s">
        <v>82</v>
      </c>
    </row>
    <row r="12" ht="36.0" customHeight="1">
      <c r="A12" s="1" t="s">
        <v>83</v>
      </c>
      <c r="B12" s="10">
        <f>B9-B10</f>
        <v>0</v>
      </c>
      <c r="C12" s="1"/>
      <c r="D12" s="14" t="s">
        <v>90</v>
      </c>
    </row>
    <row r="13" ht="36.0" customHeight="1">
      <c r="A13" s="1" t="s">
        <v>93</v>
      </c>
      <c r="B13" s="10">
        <f>SUM('Clinical review'!R2:R61)</f>
        <v>0</v>
      </c>
      <c r="C13" s="1"/>
      <c r="D13" s="14" t="s">
        <v>98</v>
      </c>
    </row>
    <row r="14" ht="27.0" customHeight="1">
      <c r="A14" s="1"/>
      <c r="B14" s="1"/>
      <c r="C14" s="1"/>
      <c r="D14" s="1"/>
      <c r="E14" s="1"/>
      <c r="F14" s="1"/>
    </row>
    <row r="15" ht="27.0" customHeight="1">
      <c r="A15" s="1"/>
      <c r="B15" s="1"/>
      <c r="C15" s="1"/>
      <c r="D15" s="1"/>
      <c r="E15" s="1"/>
      <c r="F15" s="1"/>
    </row>
    <row r="16" ht="27.0" customHeight="1">
      <c r="A16" s="1" t="s">
        <v>102</v>
      </c>
      <c r="B16" s="1" t="s">
        <v>103</v>
      </c>
      <c r="C16" s="1"/>
      <c r="D16" s="1"/>
      <c r="E16" s="1"/>
      <c r="F16" s="1"/>
    </row>
    <row r="17" ht="27.0" customHeight="1">
      <c r="A17" s="1" t="s">
        <v>106</v>
      </c>
      <c r="B17" s="13" t="s">
        <v>107</v>
      </c>
      <c r="C17" s="1"/>
      <c r="D17" s="1"/>
      <c r="E17" s="1"/>
      <c r="F17" s="1"/>
    </row>
    <row r="18" ht="27.0" customHeight="1">
      <c r="A18" s="1" t="s">
        <v>108</v>
      </c>
      <c r="B18" s="13" t="s">
        <v>110</v>
      </c>
      <c r="C18" s="1"/>
      <c r="D18" s="1"/>
      <c r="E18" s="1"/>
      <c r="F18" s="1"/>
    </row>
    <row r="19" ht="27.0" customHeight="1">
      <c r="A19" s="1"/>
      <c r="B19" s="1"/>
      <c r="C19" s="1"/>
      <c r="D19" s="1"/>
      <c r="E19" s="1"/>
      <c r="F19" s="1"/>
    </row>
    <row r="20" ht="27.0" customHeight="1">
      <c r="A20" s="1" t="s">
        <v>112</v>
      </c>
      <c r="B20" s="1" t="s">
        <v>113</v>
      </c>
      <c r="C20" s="1"/>
      <c r="D20" s="1"/>
      <c r="E20" s="1"/>
      <c r="F20" s="1"/>
    </row>
    <row r="21" ht="27.0" customHeight="1">
      <c r="A21" s="1" t="s">
        <v>115</v>
      </c>
      <c r="B21" s="1">
        <f>COUNTA('Queue review'!A2:A31)</f>
        <v>6</v>
      </c>
      <c r="C21" s="1"/>
      <c r="D21" s="1"/>
      <c r="E21" s="1"/>
      <c r="F21" s="1"/>
    </row>
    <row r="22" ht="27.0" customHeight="1">
      <c r="A22" s="1" t="s">
        <v>72</v>
      </c>
      <c r="B22" s="1">
        <f>COUNTIFS('Queue review'!A2:A31,"&lt;&gt;",'Queue review'!I2:I31,"Completed")</f>
        <v>0</v>
      </c>
      <c r="C22" s="1"/>
      <c r="D22" s="1"/>
      <c r="E22" s="1"/>
      <c r="F22" s="1"/>
    </row>
    <row r="23" ht="27.0" customHeight="1">
      <c r="A23" s="1"/>
      <c r="B23" s="1"/>
      <c r="C23" s="1"/>
      <c r="D23" s="1"/>
      <c r="E23" s="1"/>
      <c r="F23" s="1"/>
    </row>
    <row r="24" ht="27.0" customHeight="1">
      <c r="A24" s="1"/>
      <c r="B24" s="1"/>
      <c r="C24" s="1"/>
      <c r="D24" s="1"/>
      <c r="E24" s="1"/>
      <c r="F24" s="1"/>
    </row>
    <row r="25" ht="27.0" customHeight="1">
      <c r="A25" s="1"/>
      <c r="B25" s="1"/>
      <c r="C25" s="1"/>
      <c r="D25" s="1"/>
      <c r="E25" s="1"/>
      <c r="F25" s="1"/>
    </row>
    <row r="26" ht="27.0" customHeight="1">
      <c r="A26" s="1"/>
      <c r="B26" s="1"/>
      <c r="C26" s="1"/>
      <c r="D26" s="1"/>
      <c r="E26" s="1"/>
      <c r="F26" s="1"/>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D6:F6"/>
    <mergeCell ref="D7:F7"/>
    <mergeCell ref="D8:F8"/>
    <mergeCell ref="D9:F9"/>
    <mergeCell ref="D10:F10"/>
    <mergeCell ref="D11:F11"/>
    <mergeCell ref="D12:F12"/>
    <mergeCell ref="D13:F13"/>
  </mergeCells>
  <dataValidations>
    <dataValidation type="list" allowBlank="1" sqref="B18">
      <formula1>"Not approved,Approved"</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4.0"/>
    <col customWidth="1" min="2" max="2" width="15.0"/>
    <col customWidth="1" min="3" max="3" width="22.0"/>
    <col customWidth="1" min="4" max="4" width="18.0"/>
    <col customWidth="1" min="5" max="5" width="24.0"/>
    <col customWidth="1" min="6" max="6" width="18.0"/>
    <col customWidth="1" min="7" max="7" width="28.0"/>
    <col customWidth="1" min="8" max="8" width="25.0"/>
    <col customWidth="1" min="9" max="9" width="65.0"/>
    <col customWidth="1" min="10" max="10" width="55.0"/>
    <col customWidth="1" min="11" max="11" width="65.0"/>
    <col customWidth="1" min="12" max="12" width="60.0"/>
    <col customWidth="1" min="13" max="13" width="75.0"/>
    <col customWidth="1" min="14" max="14" width="25.0"/>
    <col customWidth="1" min="15" max="16" width="24.0"/>
    <col customWidth="1" min="17" max="17" width="55.0"/>
    <col customWidth="1" min="18" max="18" width="20.0"/>
    <col customWidth="1" min="19" max="19" width="24.0"/>
    <col customWidth="1" min="20" max="20" width="20.0"/>
    <col customWidth="1" min="21" max="26" width="8.63"/>
  </cols>
  <sheetData>
    <row r="1" ht="43.5" customHeight="1">
      <c r="A1" s="8" t="s">
        <v>14</v>
      </c>
      <c r="B1" s="8" t="s">
        <v>23</v>
      </c>
      <c r="C1" s="8" t="s">
        <v>24</v>
      </c>
      <c r="D1" s="8" t="s">
        <v>25</v>
      </c>
      <c r="E1" s="8" t="s">
        <v>26</v>
      </c>
      <c r="F1" s="8" t="s">
        <v>28</v>
      </c>
      <c r="G1" s="8" t="s">
        <v>29</v>
      </c>
      <c r="H1" s="8" t="s">
        <v>30</v>
      </c>
      <c r="I1" s="8" t="s">
        <v>31</v>
      </c>
      <c r="J1" s="8" t="s">
        <v>33</v>
      </c>
      <c r="K1" s="8" t="s">
        <v>34</v>
      </c>
      <c r="L1" s="8" t="s">
        <v>35</v>
      </c>
      <c r="M1" s="8" t="s">
        <v>36</v>
      </c>
      <c r="N1" s="8" t="s">
        <v>37</v>
      </c>
      <c r="O1" s="8" t="s">
        <v>39</v>
      </c>
      <c r="P1" s="8" t="s">
        <v>40</v>
      </c>
      <c r="Q1" s="8" t="s">
        <v>41</v>
      </c>
      <c r="R1" s="8" t="s">
        <v>42</v>
      </c>
      <c r="S1" s="8" t="s">
        <v>43</v>
      </c>
      <c r="T1" s="8" t="s">
        <v>45</v>
      </c>
    </row>
    <row r="2" ht="73.5" customHeight="1">
      <c r="A2" s="1" t="s">
        <v>46</v>
      </c>
      <c r="B2" s="1" t="s">
        <v>47</v>
      </c>
      <c r="C2" s="11" t="s">
        <v>49</v>
      </c>
      <c r="D2" s="13"/>
      <c r="E2" s="13"/>
      <c r="F2" s="13"/>
      <c r="G2" s="15"/>
      <c r="H2" s="15"/>
      <c r="I2" s="15"/>
      <c r="J2" s="15"/>
      <c r="K2" s="15"/>
      <c r="L2" s="15"/>
      <c r="M2" s="15"/>
      <c r="N2" s="15"/>
      <c r="O2" s="15"/>
      <c r="P2" s="15"/>
      <c r="Q2" s="15"/>
      <c r="R2" s="13"/>
      <c r="S2" s="10" t="str">
        <f t="shared" ref="S2:S61" si="1">IF(A2="","",IF(AND(D2&lt;&gt;"",E2&lt;&gt;"",F2&lt;&gt;"",G2&lt;&gt;"",H2&lt;&gt;"",I2&lt;&gt;"",J2&lt;&gt;"",K2&lt;&gt;"",L2&lt;&gt;"",M2&lt;&gt;"",N2="Yes",O2="Yes",P2="Yes",OR(Q2="",Q2="None")),"Ready","Incomplete"))</f>
        <v>Incomplete</v>
      </c>
      <c r="T2" s="10" t="str">
        <f>IF(A2="","",IF(AND(C2="Completed",S2="Ready",Progress!B18="Approved",F2=Progress!B17),"Yes","No"))</f>
        <v>No</v>
      </c>
    </row>
    <row r="3" ht="73.5" customHeight="1">
      <c r="A3" s="1" t="s">
        <v>104</v>
      </c>
      <c r="B3" s="1" t="s">
        <v>105</v>
      </c>
      <c r="C3" s="13" t="s">
        <v>49</v>
      </c>
      <c r="D3" s="13"/>
      <c r="E3" s="13"/>
      <c r="F3" s="13"/>
      <c r="G3" s="15"/>
      <c r="H3" s="15"/>
      <c r="I3" s="15"/>
      <c r="J3" s="15"/>
      <c r="K3" s="15"/>
      <c r="L3" s="15"/>
      <c r="M3" s="15"/>
      <c r="N3" s="15"/>
      <c r="O3" s="15"/>
      <c r="P3" s="15"/>
      <c r="Q3" s="15"/>
      <c r="R3" s="13"/>
      <c r="S3" s="10" t="str">
        <f t="shared" si="1"/>
        <v>Incomplete</v>
      </c>
      <c r="T3" s="10" t="str">
        <f>IF(A3="","",IF(AND(C3="Completed",S3="Ready",Progress!B18="Approved",F3=Progress!B17),"Yes","No"))</f>
        <v>No</v>
      </c>
    </row>
    <row r="4" ht="73.5" customHeight="1">
      <c r="A4" s="1" t="s">
        <v>118</v>
      </c>
      <c r="B4" s="1" t="s">
        <v>119</v>
      </c>
      <c r="C4" s="13" t="s">
        <v>49</v>
      </c>
      <c r="D4" s="13"/>
      <c r="E4" s="13"/>
      <c r="F4" s="13"/>
      <c r="G4" s="15"/>
      <c r="H4" s="15"/>
      <c r="I4" s="15"/>
      <c r="J4" s="15"/>
      <c r="K4" s="15"/>
      <c r="L4" s="15"/>
      <c r="M4" s="15"/>
      <c r="N4" s="15"/>
      <c r="O4" s="15"/>
      <c r="P4" s="15"/>
      <c r="Q4" s="15"/>
      <c r="R4" s="13"/>
      <c r="S4" s="10" t="str">
        <f t="shared" si="1"/>
        <v>Incomplete</v>
      </c>
      <c r="T4" s="10" t="str">
        <f>IF(A4="","",IF(AND(C4="Completed",S4="Ready",Progress!B18="Approved",F4=Progress!B17),"Yes","No"))</f>
        <v>No</v>
      </c>
    </row>
    <row r="5" ht="73.5" customHeight="1">
      <c r="A5" s="1" t="s">
        <v>126</v>
      </c>
      <c r="B5" s="1" t="s">
        <v>127</v>
      </c>
      <c r="C5" s="13" t="s">
        <v>49</v>
      </c>
      <c r="D5" s="13"/>
      <c r="E5" s="13"/>
      <c r="F5" s="13"/>
      <c r="G5" s="15"/>
      <c r="H5" s="15"/>
      <c r="I5" s="15"/>
      <c r="J5" s="15"/>
      <c r="K5" s="15"/>
      <c r="L5" s="15"/>
      <c r="M5" s="15"/>
      <c r="N5" s="15"/>
      <c r="O5" s="15"/>
      <c r="P5" s="15"/>
      <c r="Q5" s="15"/>
      <c r="R5" s="13"/>
      <c r="S5" s="10" t="str">
        <f t="shared" si="1"/>
        <v>Incomplete</v>
      </c>
      <c r="T5" s="10" t="str">
        <f>IF(A5="","",IF(AND(C5="Completed",S5="Ready",Progress!B18="Approved",F5=Progress!B17),"Yes","No"))</f>
        <v>No</v>
      </c>
    </row>
    <row r="6" ht="73.5" customHeight="1">
      <c r="A6" s="1" t="s">
        <v>131</v>
      </c>
      <c r="B6" s="1" t="s">
        <v>132</v>
      </c>
      <c r="C6" s="13" t="s">
        <v>49</v>
      </c>
      <c r="D6" s="13"/>
      <c r="E6" s="13"/>
      <c r="F6" s="13"/>
      <c r="G6" s="15"/>
      <c r="H6" s="15"/>
      <c r="I6" s="15"/>
      <c r="J6" s="15"/>
      <c r="K6" s="15"/>
      <c r="L6" s="15"/>
      <c r="M6" s="15"/>
      <c r="N6" s="15"/>
      <c r="O6" s="15"/>
      <c r="P6" s="15"/>
      <c r="Q6" s="15"/>
      <c r="R6" s="13"/>
      <c r="S6" s="10" t="str">
        <f t="shared" si="1"/>
        <v>Incomplete</v>
      </c>
      <c r="T6" s="10" t="str">
        <f>IF(A6="","",IF(AND(C6="Completed",S6="Ready",Progress!B18="Approved",F6=Progress!B17),"Yes","No"))</f>
        <v>No</v>
      </c>
    </row>
    <row r="7" ht="73.5" customHeight="1">
      <c r="A7" s="1" t="s">
        <v>133</v>
      </c>
      <c r="B7" s="1" t="s">
        <v>134</v>
      </c>
      <c r="C7" s="13" t="s">
        <v>49</v>
      </c>
      <c r="D7" s="13"/>
      <c r="E7" s="13"/>
      <c r="F7" s="13"/>
      <c r="G7" s="15"/>
      <c r="H7" s="15"/>
      <c r="I7" s="15"/>
      <c r="J7" s="15"/>
      <c r="K7" s="15"/>
      <c r="L7" s="15"/>
      <c r="M7" s="15"/>
      <c r="N7" s="15"/>
      <c r="O7" s="15"/>
      <c r="P7" s="15"/>
      <c r="Q7" s="15"/>
      <c r="R7" s="13"/>
      <c r="S7" s="10" t="str">
        <f t="shared" si="1"/>
        <v>Incomplete</v>
      </c>
      <c r="T7" s="10" t="str">
        <f>IF(A7="","",IF(AND(C7="Completed",S7="Ready",Progress!B18="Approved",F7=Progress!B17),"Yes","No"))</f>
        <v>No</v>
      </c>
    </row>
    <row r="8" ht="73.5" customHeight="1">
      <c r="A8" s="1" t="s">
        <v>135</v>
      </c>
      <c r="B8" s="1" t="s">
        <v>136</v>
      </c>
      <c r="C8" s="13" t="s">
        <v>49</v>
      </c>
      <c r="D8" s="13"/>
      <c r="E8" s="13"/>
      <c r="F8" s="13"/>
      <c r="G8" s="15"/>
      <c r="H8" s="15"/>
      <c r="I8" s="15"/>
      <c r="J8" s="15"/>
      <c r="K8" s="15"/>
      <c r="L8" s="15"/>
      <c r="M8" s="15"/>
      <c r="N8" s="15"/>
      <c r="O8" s="15"/>
      <c r="P8" s="15"/>
      <c r="Q8" s="15"/>
      <c r="R8" s="13"/>
      <c r="S8" s="10" t="str">
        <f t="shared" si="1"/>
        <v>Incomplete</v>
      </c>
      <c r="T8" s="10" t="str">
        <f>IF(A8="","",IF(AND(C8="Completed",S8="Ready",Progress!B18="Approved",F8=Progress!B17),"Yes","No"))</f>
        <v>No</v>
      </c>
    </row>
    <row r="9" ht="73.5" customHeight="1">
      <c r="A9" s="1" t="s">
        <v>138</v>
      </c>
      <c r="B9" s="1" t="s">
        <v>139</v>
      </c>
      <c r="C9" s="13" t="s">
        <v>49</v>
      </c>
      <c r="D9" s="13"/>
      <c r="E9" s="13"/>
      <c r="F9" s="13"/>
      <c r="G9" s="15"/>
      <c r="H9" s="15"/>
      <c r="I9" s="15"/>
      <c r="J9" s="15"/>
      <c r="K9" s="15"/>
      <c r="L9" s="15"/>
      <c r="M9" s="15"/>
      <c r="N9" s="15"/>
      <c r="O9" s="15"/>
      <c r="P9" s="15"/>
      <c r="Q9" s="15"/>
      <c r="R9" s="13"/>
      <c r="S9" s="10" t="str">
        <f t="shared" si="1"/>
        <v>Incomplete</v>
      </c>
      <c r="T9" s="10" t="str">
        <f>IF(A9="","",IF(AND(C9="Completed",S9="Ready",Progress!B18="Approved",F9=Progress!B17),"Yes","No"))</f>
        <v>No</v>
      </c>
    </row>
    <row r="10" ht="73.5" customHeight="1">
      <c r="A10" s="1" t="s">
        <v>150</v>
      </c>
      <c r="B10" s="1" t="s">
        <v>151</v>
      </c>
      <c r="C10" s="13" t="s">
        <v>49</v>
      </c>
      <c r="D10" s="13"/>
      <c r="E10" s="13"/>
      <c r="F10" s="13"/>
      <c r="G10" s="15"/>
      <c r="H10" s="15"/>
      <c r="I10" s="15"/>
      <c r="J10" s="15"/>
      <c r="K10" s="15"/>
      <c r="L10" s="15"/>
      <c r="M10" s="15"/>
      <c r="N10" s="15"/>
      <c r="O10" s="15"/>
      <c r="P10" s="15"/>
      <c r="Q10" s="15"/>
      <c r="R10" s="13"/>
      <c r="S10" s="10" t="str">
        <f t="shared" si="1"/>
        <v>Incomplete</v>
      </c>
      <c r="T10" s="10" t="str">
        <f>IF(A10="","",IF(AND(C10="Completed",S10="Ready",Progress!B18="Approved",F10=Progress!B17),"Yes","No"))</f>
        <v>No</v>
      </c>
    </row>
    <row r="11" ht="73.5" customHeight="1">
      <c r="A11" s="1" t="s">
        <v>154</v>
      </c>
      <c r="B11" s="1" t="s">
        <v>155</v>
      </c>
      <c r="C11" s="13" t="s">
        <v>49</v>
      </c>
      <c r="D11" s="13"/>
      <c r="E11" s="13"/>
      <c r="F11" s="13"/>
      <c r="G11" s="15"/>
      <c r="H11" s="15"/>
      <c r="I11" s="15"/>
      <c r="J11" s="15"/>
      <c r="K11" s="15"/>
      <c r="L11" s="15"/>
      <c r="M11" s="15"/>
      <c r="N11" s="15"/>
      <c r="O11" s="15"/>
      <c r="P11" s="15"/>
      <c r="Q11" s="15"/>
      <c r="R11" s="13"/>
      <c r="S11" s="10" t="str">
        <f t="shared" si="1"/>
        <v>Incomplete</v>
      </c>
      <c r="T11" s="10" t="str">
        <f>IF(A11="","",IF(AND(C11="Completed",S11="Ready",Progress!B18="Approved",F11=Progress!B17),"Yes","No"))</f>
        <v>No</v>
      </c>
    </row>
    <row r="12">
      <c r="C12" s="19"/>
      <c r="G12" s="19"/>
      <c r="H12" s="19"/>
      <c r="N12" s="19"/>
      <c r="O12" s="19"/>
      <c r="P12" s="19"/>
      <c r="S12" s="20" t="str">
        <f t="shared" si="1"/>
        <v/>
      </c>
      <c r="T12" s="20" t="str">
        <f>IF(A12="","",IF(AND(C12="Completed",S12="Ready",Progress!B18="Approved",F12=Progress!B17),"Yes","No"))</f>
        <v/>
      </c>
    </row>
    <row r="13">
      <c r="C13" s="19"/>
      <c r="G13" s="19"/>
      <c r="H13" s="19"/>
      <c r="N13" s="19"/>
      <c r="O13" s="19"/>
      <c r="P13" s="19"/>
      <c r="S13" s="20" t="str">
        <f t="shared" si="1"/>
        <v/>
      </c>
      <c r="T13" s="20" t="str">
        <f>IF(A13="","",IF(AND(C13="Completed",S13="Ready",Progress!B18="Approved",F13=Progress!B17),"Yes","No"))</f>
        <v/>
      </c>
    </row>
    <row r="14">
      <c r="C14" s="19"/>
      <c r="G14" s="19"/>
      <c r="H14" s="19"/>
      <c r="N14" s="19"/>
      <c r="O14" s="19"/>
      <c r="P14" s="19"/>
      <c r="S14" s="20" t="str">
        <f t="shared" si="1"/>
        <v/>
      </c>
      <c r="T14" s="20" t="str">
        <f>IF(A14="","",IF(AND(C14="Completed",S14="Ready",Progress!B18="Approved",F14=Progress!B17),"Yes","No"))</f>
        <v/>
      </c>
    </row>
    <row r="15">
      <c r="C15" s="19"/>
      <c r="G15" s="19"/>
      <c r="H15" s="19"/>
      <c r="N15" s="19"/>
      <c r="O15" s="19"/>
      <c r="P15" s="19"/>
      <c r="S15" s="20" t="str">
        <f t="shared" si="1"/>
        <v/>
      </c>
      <c r="T15" s="20" t="str">
        <f>IF(A15="","",IF(AND(C15="Completed",S15="Ready",Progress!B18="Approved",F15=Progress!B17),"Yes","No"))</f>
        <v/>
      </c>
    </row>
    <row r="16">
      <c r="C16" s="19"/>
      <c r="G16" s="19"/>
      <c r="H16" s="19"/>
      <c r="N16" s="19"/>
      <c r="O16" s="19"/>
      <c r="P16" s="19"/>
      <c r="S16" s="20" t="str">
        <f t="shared" si="1"/>
        <v/>
      </c>
      <c r="T16" s="20" t="str">
        <f>IF(A16="","",IF(AND(C16="Completed",S16="Ready",Progress!B18="Approved",F16=Progress!B17),"Yes","No"))</f>
        <v/>
      </c>
    </row>
    <row r="17">
      <c r="C17" s="19"/>
      <c r="G17" s="19"/>
      <c r="H17" s="19"/>
      <c r="N17" s="19"/>
      <c r="O17" s="19"/>
      <c r="P17" s="19"/>
      <c r="S17" s="20" t="str">
        <f t="shared" si="1"/>
        <v/>
      </c>
      <c r="T17" s="20" t="str">
        <f>IF(A17="","",IF(AND(C17="Completed",S17="Ready",Progress!B18="Approved",F17=Progress!B17),"Yes","No"))</f>
        <v/>
      </c>
    </row>
    <row r="18">
      <c r="C18" s="19"/>
      <c r="G18" s="19"/>
      <c r="H18" s="19"/>
      <c r="N18" s="19"/>
      <c r="O18" s="19"/>
      <c r="P18" s="19"/>
      <c r="S18" s="20" t="str">
        <f t="shared" si="1"/>
        <v/>
      </c>
      <c r="T18" s="20" t="str">
        <f>IF(A18="","",IF(AND(C18="Completed",S18="Ready",Progress!B18="Approved",F18=Progress!B17),"Yes","No"))</f>
        <v/>
      </c>
    </row>
    <row r="19">
      <c r="C19" s="19"/>
      <c r="G19" s="19"/>
      <c r="H19" s="19"/>
      <c r="N19" s="19"/>
      <c r="O19" s="19"/>
      <c r="P19" s="19"/>
      <c r="S19" s="20" t="str">
        <f t="shared" si="1"/>
        <v/>
      </c>
      <c r="T19" s="20" t="str">
        <f>IF(A19="","",IF(AND(C19="Completed",S19="Ready",Progress!B18="Approved",F19=Progress!B17),"Yes","No"))</f>
        <v/>
      </c>
    </row>
    <row r="20">
      <c r="C20" s="19"/>
      <c r="G20" s="19"/>
      <c r="H20" s="19"/>
      <c r="N20" s="19"/>
      <c r="O20" s="19"/>
      <c r="P20" s="19"/>
      <c r="S20" s="20" t="str">
        <f t="shared" si="1"/>
        <v/>
      </c>
      <c r="T20" s="20" t="str">
        <f>IF(A20="","",IF(AND(C20="Completed",S20="Ready",Progress!B18="Approved",F20=Progress!B17),"Yes","No"))</f>
        <v/>
      </c>
    </row>
    <row r="21" ht="15.75" customHeight="1">
      <c r="C21" s="19"/>
      <c r="G21" s="19"/>
      <c r="H21" s="19"/>
      <c r="N21" s="19"/>
      <c r="O21" s="19"/>
      <c r="P21" s="19"/>
      <c r="S21" s="20" t="str">
        <f t="shared" si="1"/>
        <v/>
      </c>
      <c r="T21" s="20" t="str">
        <f>IF(A21="","",IF(AND(C21="Completed",S21="Ready",Progress!B18="Approved",F21=Progress!B17),"Yes","No"))</f>
        <v/>
      </c>
    </row>
    <row r="22" ht="15.75" customHeight="1">
      <c r="C22" s="19"/>
      <c r="G22" s="19"/>
      <c r="H22" s="19"/>
      <c r="N22" s="19"/>
      <c r="O22" s="19"/>
      <c r="P22" s="19"/>
      <c r="S22" s="20" t="str">
        <f t="shared" si="1"/>
        <v/>
      </c>
      <c r="T22" s="20" t="str">
        <f>IF(A22="","",IF(AND(C22="Completed",S22="Ready",Progress!B18="Approved",F22=Progress!B17),"Yes","No"))</f>
        <v/>
      </c>
    </row>
    <row r="23" ht="15.75" customHeight="1">
      <c r="C23" s="19"/>
      <c r="G23" s="19"/>
      <c r="H23" s="19"/>
      <c r="N23" s="19"/>
      <c r="O23" s="19"/>
      <c r="P23" s="19"/>
      <c r="S23" s="20" t="str">
        <f t="shared" si="1"/>
        <v/>
      </c>
      <c r="T23" s="20" t="str">
        <f>IF(A23="","",IF(AND(C23="Completed",S23="Ready",Progress!B18="Approved",F23=Progress!B17),"Yes","No"))</f>
        <v/>
      </c>
    </row>
    <row r="24" ht="15.75" customHeight="1">
      <c r="C24" s="19"/>
      <c r="G24" s="19"/>
      <c r="H24" s="19"/>
      <c r="N24" s="19"/>
      <c r="O24" s="19"/>
      <c r="P24" s="19"/>
      <c r="S24" s="20" t="str">
        <f t="shared" si="1"/>
        <v/>
      </c>
      <c r="T24" s="20" t="str">
        <f>IF(A24="","",IF(AND(C24="Completed",S24="Ready",Progress!B18="Approved",F24=Progress!B17),"Yes","No"))</f>
        <v/>
      </c>
    </row>
    <row r="25" ht="15.75" customHeight="1">
      <c r="C25" s="19"/>
      <c r="G25" s="19"/>
      <c r="H25" s="19"/>
      <c r="N25" s="19"/>
      <c r="O25" s="19"/>
      <c r="P25" s="19"/>
      <c r="S25" s="20" t="str">
        <f t="shared" si="1"/>
        <v/>
      </c>
      <c r="T25" s="20" t="str">
        <f>IF(A25="","",IF(AND(C25="Completed",S25="Ready",Progress!B18="Approved",F25=Progress!B17),"Yes","No"))</f>
        <v/>
      </c>
    </row>
    <row r="26" ht="15.75" customHeight="1">
      <c r="C26" s="19"/>
      <c r="G26" s="19"/>
      <c r="H26" s="19"/>
      <c r="N26" s="19"/>
      <c r="O26" s="19"/>
      <c r="P26" s="19"/>
      <c r="S26" s="20" t="str">
        <f t="shared" si="1"/>
        <v/>
      </c>
      <c r="T26" s="20" t="str">
        <f>IF(A26="","",IF(AND(C26="Completed",S26="Ready",Progress!B18="Approved",F26=Progress!B17),"Yes","No"))</f>
        <v/>
      </c>
    </row>
    <row r="27" ht="15.75" customHeight="1">
      <c r="C27" s="19"/>
      <c r="G27" s="19"/>
      <c r="H27" s="19"/>
      <c r="N27" s="19"/>
      <c r="O27" s="19"/>
      <c r="P27" s="19"/>
      <c r="S27" s="20" t="str">
        <f t="shared" si="1"/>
        <v/>
      </c>
      <c r="T27" s="20" t="str">
        <f>IF(A27="","",IF(AND(C27="Completed",S27="Ready",Progress!B18="Approved",F27=Progress!B17),"Yes","No"))</f>
        <v/>
      </c>
    </row>
    <row r="28" ht="15.75" customHeight="1">
      <c r="C28" s="19"/>
      <c r="G28" s="19"/>
      <c r="H28" s="19"/>
      <c r="N28" s="19"/>
      <c r="O28" s="19"/>
      <c r="P28" s="19"/>
      <c r="S28" s="20" t="str">
        <f t="shared" si="1"/>
        <v/>
      </c>
      <c r="T28" s="20" t="str">
        <f>IF(A28="","",IF(AND(C28="Completed",S28="Ready",Progress!B18="Approved",F28=Progress!B17),"Yes","No"))</f>
        <v/>
      </c>
    </row>
    <row r="29" ht="15.75" customHeight="1">
      <c r="C29" s="19"/>
      <c r="G29" s="19"/>
      <c r="H29" s="19"/>
      <c r="N29" s="19"/>
      <c r="O29" s="19"/>
      <c r="P29" s="19"/>
      <c r="S29" s="20" t="str">
        <f t="shared" si="1"/>
        <v/>
      </c>
      <c r="T29" s="20" t="str">
        <f>IF(A29="","",IF(AND(C29="Completed",S29="Ready",Progress!B18="Approved",F29=Progress!B17),"Yes","No"))</f>
        <v/>
      </c>
    </row>
    <row r="30" ht="15.75" customHeight="1">
      <c r="C30" s="19"/>
      <c r="G30" s="19"/>
      <c r="H30" s="19"/>
      <c r="N30" s="19"/>
      <c r="O30" s="19"/>
      <c r="P30" s="19"/>
      <c r="S30" s="20" t="str">
        <f t="shared" si="1"/>
        <v/>
      </c>
      <c r="T30" s="20" t="str">
        <f>IF(A30="","",IF(AND(C30="Completed",S30="Ready",Progress!B18="Approved",F30=Progress!B17),"Yes","No"))</f>
        <v/>
      </c>
    </row>
    <row r="31" ht="15.75" customHeight="1">
      <c r="C31" s="19"/>
      <c r="G31" s="19"/>
      <c r="H31" s="19"/>
      <c r="N31" s="19"/>
      <c r="O31" s="19"/>
      <c r="P31" s="19"/>
      <c r="S31" s="20" t="str">
        <f t="shared" si="1"/>
        <v/>
      </c>
      <c r="T31" s="20" t="str">
        <f>IF(A31="","",IF(AND(C31="Completed",S31="Ready",Progress!B18="Approved",F31=Progress!B17),"Yes","No"))</f>
        <v/>
      </c>
    </row>
    <row r="32" ht="15.75" customHeight="1">
      <c r="C32" s="19"/>
      <c r="G32" s="19"/>
      <c r="H32" s="19"/>
      <c r="N32" s="19"/>
      <c r="O32" s="19"/>
      <c r="P32" s="19"/>
      <c r="S32" s="20" t="str">
        <f t="shared" si="1"/>
        <v/>
      </c>
      <c r="T32" s="20" t="str">
        <f>IF(A32="","",IF(AND(C32="Completed",S32="Ready",Progress!B18="Approved",F32=Progress!B17),"Yes","No"))</f>
        <v/>
      </c>
    </row>
    <row r="33" ht="15.75" customHeight="1">
      <c r="C33" s="19"/>
      <c r="G33" s="19"/>
      <c r="H33" s="19"/>
      <c r="N33" s="19"/>
      <c r="O33" s="19"/>
      <c r="P33" s="19"/>
      <c r="S33" s="20" t="str">
        <f t="shared" si="1"/>
        <v/>
      </c>
      <c r="T33" s="20" t="str">
        <f>IF(A33="","",IF(AND(C33="Completed",S33="Ready",Progress!B18="Approved",F33=Progress!B17),"Yes","No"))</f>
        <v/>
      </c>
    </row>
    <row r="34" ht="15.75" customHeight="1">
      <c r="C34" s="19"/>
      <c r="G34" s="19"/>
      <c r="H34" s="19"/>
      <c r="N34" s="19"/>
      <c r="O34" s="19"/>
      <c r="P34" s="19"/>
      <c r="S34" s="20" t="str">
        <f t="shared" si="1"/>
        <v/>
      </c>
      <c r="T34" s="20" t="str">
        <f>IF(A34="","",IF(AND(C34="Completed",S34="Ready",Progress!B18="Approved",F34=Progress!B17),"Yes","No"))</f>
        <v/>
      </c>
    </row>
    <row r="35" ht="15.75" customHeight="1">
      <c r="C35" s="19"/>
      <c r="G35" s="19"/>
      <c r="H35" s="19"/>
      <c r="N35" s="19"/>
      <c r="O35" s="19"/>
      <c r="P35" s="19"/>
      <c r="S35" s="20" t="str">
        <f t="shared" si="1"/>
        <v/>
      </c>
      <c r="T35" s="20" t="str">
        <f>IF(A35="","",IF(AND(C35="Completed",S35="Ready",Progress!B18="Approved",F35=Progress!B17),"Yes","No"))</f>
        <v/>
      </c>
    </row>
    <row r="36" ht="15.75" customHeight="1">
      <c r="C36" s="19"/>
      <c r="G36" s="19"/>
      <c r="H36" s="19"/>
      <c r="N36" s="19"/>
      <c r="O36" s="19"/>
      <c r="P36" s="19"/>
      <c r="S36" s="20" t="str">
        <f t="shared" si="1"/>
        <v/>
      </c>
      <c r="T36" s="20" t="str">
        <f>IF(A36="","",IF(AND(C36="Completed",S36="Ready",Progress!B18="Approved",F36=Progress!B17),"Yes","No"))</f>
        <v/>
      </c>
    </row>
    <row r="37" ht="15.75" customHeight="1">
      <c r="C37" s="19"/>
      <c r="G37" s="19"/>
      <c r="H37" s="19"/>
      <c r="N37" s="19"/>
      <c r="O37" s="19"/>
      <c r="P37" s="19"/>
      <c r="S37" s="20" t="str">
        <f t="shared" si="1"/>
        <v/>
      </c>
      <c r="T37" s="20" t="str">
        <f>IF(A37="","",IF(AND(C37="Completed",S37="Ready",Progress!B18="Approved",F37=Progress!B17),"Yes","No"))</f>
        <v/>
      </c>
    </row>
    <row r="38" ht="15.75" customHeight="1">
      <c r="C38" s="19"/>
      <c r="G38" s="19"/>
      <c r="H38" s="19"/>
      <c r="N38" s="19"/>
      <c r="O38" s="19"/>
      <c r="P38" s="19"/>
      <c r="S38" s="20" t="str">
        <f t="shared" si="1"/>
        <v/>
      </c>
      <c r="T38" s="20" t="str">
        <f>IF(A38="","",IF(AND(C38="Completed",S38="Ready",Progress!B18="Approved",F38=Progress!B17),"Yes","No"))</f>
        <v/>
      </c>
    </row>
    <row r="39" ht="15.75" customHeight="1">
      <c r="C39" s="19"/>
      <c r="G39" s="19"/>
      <c r="H39" s="19"/>
      <c r="N39" s="19"/>
      <c r="O39" s="19"/>
      <c r="P39" s="19"/>
      <c r="S39" s="20" t="str">
        <f t="shared" si="1"/>
        <v/>
      </c>
      <c r="T39" s="20" t="str">
        <f>IF(A39="","",IF(AND(C39="Completed",S39="Ready",Progress!B18="Approved",F39=Progress!B17),"Yes","No"))</f>
        <v/>
      </c>
    </row>
    <row r="40" ht="15.75" customHeight="1">
      <c r="C40" s="19"/>
      <c r="G40" s="19"/>
      <c r="H40" s="19"/>
      <c r="N40" s="19"/>
      <c r="O40" s="19"/>
      <c r="P40" s="19"/>
      <c r="S40" s="20" t="str">
        <f t="shared" si="1"/>
        <v/>
      </c>
      <c r="T40" s="20" t="str">
        <f>IF(A40="","",IF(AND(C40="Completed",S40="Ready",Progress!B18="Approved",F40=Progress!B17),"Yes","No"))</f>
        <v/>
      </c>
    </row>
    <row r="41" ht="15.75" customHeight="1">
      <c r="C41" s="19"/>
      <c r="G41" s="19"/>
      <c r="H41" s="19"/>
      <c r="N41" s="19"/>
      <c r="O41" s="19"/>
      <c r="P41" s="19"/>
      <c r="S41" s="20" t="str">
        <f t="shared" si="1"/>
        <v/>
      </c>
      <c r="T41" s="20" t="str">
        <f>IF(A41="","",IF(AND(C41="Completed",S41="Ready",Progress!B18="Approved",F41=Progress!B17),"Yes","No"))</f>
        <v/>
      </c>
    </row>
    <row r="42" ht="15.75" customHeight="1">
      <c r="C42" s="19"/>
      <c r="G42" s="19"/>
      <c r="H42" s="19"/>
      <c r="N42" s="19"/>
      <c r="O42" s="19"/>
      <c r="P42" s="19"/>
      <c r="S42" s="20" t="str">
        <f t="shared" si="1"/>
        <v/>
      </c>
      <c r="T42" s="20" t="str">
        <f>IF(A42="","",IF(AND(C42="Completed",S42="Ready",Progress!B18="Approved",F42=Progress!B17),"Yes","No"))</f>
        <v/>
      </c>
    </row>
    <row r="43" ht="15.75" customHeight="1">
      <c r="C43" s="19"/>
      <c r="G43" s="19"/>
      <c r="H43" s="19"/>
      <c r="N43" s="19"/>
      <c r="O43" s="19"/>
      <c r="P43" s="19"/>
      <c r="S43" s="20" t="str">
        <f t="shared" si="1"/>
        <v/>
      </c>
      <c r="T43" s="20" t="str">
        <f>IF(A43="","",IF(AND(C43="Completed",S43="Ready",Progress!B18="Approved",F43=Progress!B17),"Yes","No"))</f>
        <v/>
      </c>
    </row>
    <row r="44" ht="15.75" customHeight="1">
      <c r="C44" s="19"/>
      <c r="G44" s="19"/>
      <c r="H44" s="19"/>
      <c r="N44" s="19"/>
      <c r="O44" s="19"/>
      <c r="P44" s="19"/>
      <c r="S44" s="20" t="str">
        <f t="shared" si="1"/>
        <v/>
      </c>
      <c r="T44" s="20" t="str">
        <f>IF(A44="","",IF(AND(C44="Completed",S44="Ready",Progress!B18="Approved",F44=Progress!B17),"Yes","No"))</f>
        <v/>
      </c>
    </row>
    <row r="45" ht="15.75" customHeight="1">
      <c r="C45" s="19"/>
      <c r="G45" s="19"/>
      <c r="H45" s="19"/>
      <c r="N45" s="19"/>
      <c r="O45" s="19"/>
      <c r="P45" s="19"/>
      <c r="S45" s="20" t="str">
        <f t="shared" si="1"/>
        <v/>
      </c>
      <c r="T45" s="20" t="str">
        <f>IF(A45="","",IF(AND(C45="Completed",S45="Ready",Progress!B18="Approved",F45=Progress!B17),"Yes","No"))</f>
        <v/>
      </c>
    </row>
    <row r="46" ht="15.75" customHeight="1">
      <c r="C46" s="19"/>
      <c r="G46" s="19"/>
      <c r="H46" s="19"/>
      <c r="N46" s="19"/>
      <c r="O46" s="19"/>
      <c r="P46" s="19"/>
      <c r="S46" s="20" t="str">
        <f t="shared" si="1"/>
        <v/>
      </c>
      <c r="T46" s="20" t="str">
        <f>IF(A46="","",IF(AND(C46="Completed",S46="Ready",Progress!B18="Approved",F46=Progress!B17),"Yes","No"))</f>
        <v/>
      </c>
    </row>
    <row r="47" ht="15.75" customHeight="1">
      <c r="C47" s="19"/>
      <c r="G47" s="19"/>
      <c r="H47" s="19"/>
      <c r="N47" s="19"/>
      <c r="O47" s="19"/>
      <c r="P47" s="19"/>
      <c r="S47" s="20" t="str">
        <f t="shared" si="1"/>
        <v/>
      </c>
      <c r="T47" s="20" t="str">
        <f>IF(A47="","",IF(AND(C47="Completed",S47="Ready",Progress!B18="Approved",F47=Progress!B17),"Yes","No"))</f>
        <v/>
      </c>
    </row>
    <row r="48" ht="15.75" customHeight="1">
      <c r="C48" s="19"/>
      <c r="G48" s="19"/>
      <c r="H48" s="19"/>
      <c r="N48" s="19"/>
      <c r="O48" s="19"/>
      <c r="P48" s="19"/>
      <c r="S48" s="20" t="str">
        <f t="shared" si="1"/>
        <v/>
      </c>
      <c r="T48" s="20" t="str">
        <f>IF(A48="","",IF(AND(C48="Completed",S48="Ready",Progress!B18="Approved",F48=Progress!B17),"Yes","No"))</f>
        <v/>
      </c>
    </row>
    <row r="49" ht="15.75" customHeight="1">
      <c r="C49" s="19"/>
      <c r="G49" s="19"/>
      <c r="H49" s="19"/>
      <c r="N49" s="19"/>
      <c r="O49" s="19"/>
      <c r="P49" s="19"/>
      <c r="S49" s="20" t="str">
        <f t="shared" si="1"/>
        <v/>
      </c>
      <c r="T49" s="20" t="str">
        <f>IF(A49="","",IF(AND(C49="Completed",S49="Ready",Progress!B18="Approved",F49=Progress!B17),"Yes","No"))</f>
        <v/>
      </c>
    </row>
    <row r="50" ht="15.75" customHeight="1">
      <c r="C50" s="19"/>
      <c r="G50" s="19"/>
      <c r="H50" s="19"/>
      <c r="N50" s="19"/>
      <c r="O50" s="19"/>
      <c r="P50" s="19"/>
      <c r="S50" s="20" t="str">
        <f t="shared" si="1"/>
        <v/>
      </c>
      <c r="T50" s="20" t="str">
        <f>IF(A50="","",IF(AND(C50="Completed",S50="Ready",Progress!B18="Approved",F50=Progress!B17),"Yes","No"))</f>
        <v/>
      </c>
    </row>
    <row r="51" ht="15.75" customHeight="1">
      <c r="C51" s="19"/>
      <c r="G51" s="19"/>
      <c r="H51" s="19"/>
      <c r="N51" s="19"/>
      <c r="O51" s="19"/>
      <c r="P51" s="19"/>
      <c r="S51" s="20" t="str">
        <f t="shared" si="1"/>
        <v/>
      </c>
      <c r="T51" s="20" t="str">
        <f>IF(A51="","",IF(AND(C51="Completed",S51="Ready",Progress!B18="Approved",F51=Progress!B17),"Yes","No"))</f>
        <v/>
      </c>
    </row>
    <row r="52" ht="15.75" customHeight="1">
      <c r="C52" s="19"/>
      <c r="G52" s="19"/>
      <c r="H52" s="19"/>
      <c r="N52" s="19"/>
      <c r="O52" s="19"/>
      <c r="P52" s="19"/>
      <c r="S52" s="20" t="str">
        <f t="shared" si="1"/>
        <v/>
      </c>
      <c r="T52" s="20" t="str">
        <f>IF(A52="","",IF(AND(C52="Completed",S52="Ready",Progress!B18="Approved",F52=Progress!B17),"Yes","No"))</f>
        <v/>
      </c>
    </row>
    <row r="53" ht="15.75" customHeight="1">
      <c r="C53" s="19"/>
      <c r="G53" s="19"/>
      <c r="H53" s="19"/>
      <c r="N53" s="19"/>
      <c r="O53" s="19"/>
      <c r="P53" s="19"/>
      <c r="S53" s="20" t="str">
        <f t="shared" si="1"/>
        <v/>
      </c>
      <c r="T53" s="20" t="str">
        <f>IF(A53="","",IF(AND(C53="Completed",S53="Ready",Progress!B18="Approved",F53=Progress!B17),"Yes","No"))</f>
        <v/>
      </c>
    </row>
    <row r="54" ht="15.75" customHeight="1">
      <c r="C54" s="19"/>
      <c r="G54" s="19"/>
      <c r="H54" s="19"/>
      <c r="N54" s="19"/>
      <c r="O54" s="19"/>
      <c r="P54" s="19"/>
      <c r="S54" s="20" t="str">
        <f t="shared" si="1"/>
        <v/>
      </c>
      <c r="T54" s="20" t="str">
        <f>IF(A54="","",IF(AND(C54="Completed",S54="Ready",Progress!B18="Approved",F54=Progress!B17),"Yes","No"))</f>
        <v/>
      </c>
    </row>
    <row r="55" ht="15.75" customHeight="1">
      <c r="C55" s="19"/>
      <c r="G55" s="19"/>
      <c r="H55" s="19"/>
      <c r="N55" s="19"/>
      <c r="O55" s="19"/>
      <c r="P55" s="19"/>
      <c r="S55" s="20" t="str">
        <f t="shared" si="1"/>
        <v/>
      </c>
      <c r="T55" s="20" t="str">
        <f>IF(A55="","",IF(AND(C55="Completed",S55="Ready",Progress!B18="Approved",F55=Progress!B17),"Yes","No"))</f>
        <v/>
      </c>
    </row>
    <row r="56" ht="15.75" customHeight="1">
      <c r="C56" s="19"/>
      <c r="G56" s="19"/>
      <c r="H56" s="19"/>
      <c r="N56" s="19"/>
      <c r="O56" s="19"/>
      <c r="P56" s="19"/>
      <c r="S56" s="20" t="str">
        <f t="shared" si="1"/>
        <v/>
      </c>
      <c r="T56" s="20" t="str">
        <f>IF(A56="","",IF(AND(C56="Completed",S56="Ready",Progress!B18="Approved",F56=Progress!B17),"Yes","No"))</f>
        <v/>
      </c>
    </row>
    <row r="57" ht="15.75" customHeight="1">
      <c r="C57" s="19"/>
      <c r="G57" s="19"/>
      <c r="H57" s="19"/>
      <c r="N57" s="19"/>
      <c r="O57" s="19"/>
      <c r="P57" s="19"/>
      <c r="S57" s="20" t="str">
        <f t="shared" si="1"/>
        <v/>
      </c>
      <c r="T57" s="20" t="str">
        <f>IF(A57="","",IF(AND(C57="Completed",S57="Ready",Progress!B18="Approved",F57=Progress!B17),"Yes","No"))</f>
        <v/>
      </c>
    </row>
    <row r="58" ht="15.75" customHeight="1">
      <c r="C58" s="19"/>
      <c r="G58" s="19"/>
      <c r="H58" s="19"/>
      <c r="N58" s="19"/>
      <c r="O58" s="19"/>
      <c r="P58" s="19"/>
      <c r="S58" s="20" t="str">
        <f t="shared" si="1"/>
        <v/>
      </c>
      <c r="T58" s="20" t="str">
        <f>IF(A58="","",IF(AND(C58="Completed",S58="Ready",Progress!B18="Approved",F58=Progress!B17),"Yes","No"))</f>
        <v/>
      </c>
    </row>
    <row r="59" ht="15.75" customHeight="1">
      <c r="C59" s="19"/>
      <c r="G59" s="19"/>
      <c r="H59" s="19"/>
      <c r="N59" s="19"/>
      <c r="O59" s="19"/>
      <c r="P59" s="19"/>
      <c r="S59" s="20" t="str">
        <f t="shared" si="1"/>
        <v/>
      </c>
      <c r="T59" s="20" t="str">
        <f>IF(A59="","",IF(AND(C59="Completed",S59="Ready",Progress!B18="Approved",F59=Progress!B17),"Yes","No"))</f>
        <v/>
      </c>
    </row>
    <row r="60" ht="15.75" customHeight="1">
      <c r="C60" s="19"/>
      <c r="G60" s="19"/>
      <c r="H60" s="19"/>
      <c r="N60" s="19"/>
      <c r="O60" s="19"/>
      <c r="P60" s="19"/>
      <c r="S60" s="20" t="str">
        <f t="shared" si="1"/>
        <v/>
      </c>
      <c r="T60" s="20" t="str">
        <f>IF(A60="","",IF(AND(C60="Completed",S60="Ready",Progress!B18="Approved",F60=Progress!B17),"Yes","No"))</f>
        <v/>
      </c>
    </row>
    <row r="61" ht="15.75" customHeight="1">
      <c r="C61" s="19"/>
      <c r="G61" s="19"/>
      <c r="H61" s="19"/>
      <c r="N61" s="19"/>
      <c r="O61" s="19"/>
      <c r="P61" s="19"/>
      <c r="S61" s="20" t="str">
        <f t="shared" si="1"/>
        <v/>
      </c>
      <c r="T61" s="20" t="str">
        <f>IF(A61="","",IF(AND(C61="Completed",S61="Ready",Progress!B18="Approved",F61=Progress!B17),"Yes","No"))</f>
        <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S2:S61">
    <cfRule type="containsText" dxfId="0" priority="1" operator="containsText" text="Incomplete">
      <formula>NOT(ISERROR(SEARCH(("Incomplete"),(S2))))</formula>
    </cfRule>
  </conditionalFormatting>
  <dataValidations>
    <dataValidation type="list" allowBlank="1" sqref="G2:G61">
      <formula1>"Prepare now,Preparation can wait,Routine awareness,Cannot assess"</formula1>
    </dataValidation>
    <dataValidation type="list" allowBlank="1" sqref="C2:C61">
      <formula1>"Not started,In progress,Needs clarification,Completed"</formula1>
    </dataValidation>
    <dataValidation type="list" allowBlank="1" sqref="H2:H61">
      <formula1>"Yes,No,Uncertain,No prior information"</formula1>
    </dataValidation>
    <dataValidation type="list" allowBlank="1" sqref="N2:P61">
      <formula1>"Yes,No"</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4.0"/>
    <col customWidth="1" min="2" max="2" width="29.0"/>
    <col customWidth="1" min="3" max="3" width="25.0"/>
    <col customWidth="1" min="4" max="4" width="19.0"/>
    <col customWidth="1" min="5" max="5" width="45.0"/>
    <col customWidth="1" min="6" max="6" width="18.0"/>
    <col customWidth="1" min="7" max="7" width="22.0"/>
    <col customWidth="1" min="8" max="8" width="20.0"/>
    <col customWidth="1" min="9" max="9" width="75.0"/>
    <col customWidth="1" min="10" max="11" width="18.0"/>
    <col customWidth="1" min="12" max="12" width="60.0"/>
    <col customWidth="1" min="13" max="26" width="8.63"/>
  </cols>
  <sheetData>
    <row r="1" ht="43.5" customHeight="1">
      <c r="A1" s="8" t="s">
        <v>14</v>
      </c>
      <c r="B1" s="8" t="s">
        <v>86</v>
      </c>
      <c r="C1" s="8" t="s">
        <v>87</v>
      </c>
      <c r="D1" s="8" t="s">
        <v>88</v>
      </c>
      <c r="E1" s="8" t="s">
        <v>89</v>
      </c>
      <c r="F1" s="8" t="s">
        <v>91</v>
      </c>
      <c r="G1" s="8" t="s">
        <v>92</v>
      </c>
      <c r="H1" s="8" t="s">
        <v>94</v>
      </c>
      <c r="I1" s="8" t="s">
        <v>95</v>
      </c>
      <c r="J1" s="8" t="s">
        <v>25</v>
      </c>
      <c r="K1" s="8" t="s">
        <v>28</v>
      </c>
      <c r="L1" s="8" t="s">
        <v>96</v>
      </c>
    </row>
    <row r="2" ht="45.0" customHeight="1">
      <c r="A2" s="1" t="s">
        <v>46</v>
      </c>
      <c r="B2" s="1" t="s">
        <v>100</v>
      </c>
      <c r="C2" s="13"/>
      <c r="D2" s="13"/>
      <c r="E2" s="15"/>
      <c r="F2" s="15"/>
      <c r="G2" s="15"/>
      <c r="H2" s="15"/>
      <c r="I2" s="15"/>
      <c r="J2" s="15"/>
      <c r="K2" s="15"/>
      <c r="L2" s="15"/>
    </row>
    <row r="3" ht="45.0" customHeight="1">
      <c r="A3" s="1" t="s">
        <v>46</v>
      </c>
      <c r="B3" s="1" t="s">
        <v>109</v>
      </c>
      <c r="C3" s="13"/>
      <c r="D3" s="13"/>
      <c r="E3" s="15"/>
      <c r="F3" s="15"/>
      <c r="G3" s="15"/>
      <c r="H3" s="15"/>
      <c r="I3" s="15"/>
      <c r="J3" s="15"/>
      <c r="K3" s="15"/>
      <c r="L3" s="15"/>
    </row>
    <row r="4" ht="45.0" customHeight="1">
      <c r="A4" s="1" t="s">
        <v>46</v>
      </c>
      <c r="B4" s="1" t="s">
        <v>114</v>
      </c>
      <c r="C4" s="13"/>
      <c r="D4" s="13"/>
      <c r="E4" s="15"/>
      <c r="F4" s="15"/>
      <c r="G4" s="15"/>
      <c r="H4" s="15"/>
      <c r="I4" s="15"/>
      <c r="J4" s="15"/>
      <c r="K4" s="15"/>
      <c r="L4" s="15"/>
    </row>
    <row r="5" ht="45.0" customHeight="1">
      <c r="A5" s="1" t="s">
        <v>46</v>
      </c>
      <c r="B5" s="1" t="s">
        <v>116</v>
      </c>
      <c r="C5" s="13"/>
      <c r="D5" s="13"/>
      <c r="E5" s="15"/>
      <c r="F5" s="15"/>
      <c r="G5" s="15"/>
      <c r="H5" s="15"/>
      <c r="I5" s="15"/>
      <c r="J5" s="15"/>
      <c r="K5" s="15"/>
      <c r="L5" s="15"/>
    </row>
    <row r="6" ht="45.0" customHeight="1">
      <c r="A6" s="1" t="s">
        <v>46</v>
      </c>
      <c r="B6" s="1" t="s">
        <v>123</v>
      </c>
      <c r="C6" s="13"/>
      <c r="D6" s="13"/>
      <c r="E6" s="15"/>
      <c r="F6" s="15"/>
      <c r="G6" s="15"/>
      <c r="H6" s="15"/>
      <c r="I6" s="15"/>
      <c r="J6" s="15"/>
      <c r="K6" s="15"/>
      <c r="L6" s="15"/>
    </row>
    <row r="7" ht="45.0" customHeight="1">
      <c r="A7" s="1" t="s">
        <v>46</v>
      </c>
      <c r="B7" s="1" t="s">
        <v>124</v>
      </c>
      <c r="C7" s="13"/>
      <c r="D7" s="13"/>
      <c r="E7" s="15"/>
      <c r="F7" s="15"/>
      <c r="G7" s="15"/>
      <c r="H7" s="15"/>
      <c r="I7" s="15"/>
      <c r="J7" s="15"/>
      <c r="K7" s="15"/>
      <c r="L7" s="15"/>
    </row>
    <row r="8" ht="45.0" customHeight="1">
      <c r="A8" s="1" t="s">
        <v>46</v>
      </c>
      <c r="B8" s="1" t="s">
        <v>128</v>
      </c>
      <c r="C8" s="13"/>
      <c r="D8" s="13"/>
      <c r="E8" s="15"/>
      <c r="F8" s="15"/>
      <c r="G8" s="15"/>
      <c r="H8" s="15"/>
      <c r="I8" s="15"/>
      <c r="J8" s="15"/>
      <c r="K8" s="15"/>
      <c r="L8" s="15"/>
    </row>
    <row r="9" ht="45.0" customHeight="1">
      <c r="A9" s="1" t="s">
        <v>46</v>
      </c>
      <c r="B9" s="1" t="s">
        <v>129</v>
      </c>
      <c r="C9" s="13"/>
      <c r="D9" s="13"/>
      <c r="E9" s="15"/>
      <c r="F9" s="15"/>
      <c r="G9" s="15"/>
      <c r="H9" s="15"/>
      <c r="I9" s="15"/>
      <c r="J9" s="15"/>
      <c r="K9" s="15"/>
      <c r="L9" s="15"/>
    </row>
    <row r="10" ht="45.0" customHeight="1">
      <c r="A10" s="1" t="s">
        <v>46</v>
      </c>
      <c r="B10" s="1" t="s">
        <v>130</v>
      </c>
      <c r="C10" s="13"/>
      <c r="D10" s="13"/>
      <c r="E10" s="15"/>
      <c r="F10" s="15"/>
      <c r="G10" s="15"/>
      <c r="H10" s="15"/>
      <c r="I10" s="15"/>
      <c r="J10" s="15"/>
      <c r="K10" s="15"/>
      <c r="L10" s="15"/>
    </row>
    <row r="11" ht="45.0" customHeight="1">
      <c r="A11" s="1" t="s">
        <v>104</v>
      </c>
      <c r="B11" s="1" t="s">
        <v>100</v>
      </c>
      <c r="C11" s="13"/>
      <c r="D11" s="13"/>
      <c r="E11" s="15"/>
      <c r="F11" s="15"/>
      <c r="G11" s="15"/>
      <c r="H11" s="15"/>
      <c r="I11" s="15"/>
      <c r="J11" s="15"/>
      <c r="K11" s="15"/>
      <c r="L11" s="15"/>
    </row>
    <row r="12" ht="45.0" customHeight="1">
      <c r="A12" s="1" t="s">
        <v>104</v>
      </c>
      <c r="B12" s="1" t="s">
        <v>109</v>
      </c>
      <c r="C12" s="13"/>
      <c r="D12" s="13"/>
      <c r="E12" s="15"/>
      <c r="F12" s="15"/>
      <c r="G12" s="15"/>
      <c r="H12" s="15"/>
      <c r="I12" s="15"/>
      <c r="J12" s="15"/>
      <c r="K12" s="15"/>
      <c r="L12" s="15"/>
    </row>
    <row r="13" ht="45.0" customHeight="1">
      <c r="A13" s="1" t="s">
        <v>104</v>
      </c>
      <c r="B13" s="1" t="s">
        <v>114</v>
      </c>
      <c r="C13" s="13"/>
      <c r="D13" s="13"/>
      <c r="E13" s="15"/>
      <c r="F13" s="15"/>
      <c r="G13" s="15"/>
      <c r="H13" s="15"/>
      <c r="I13" s="15"/>
      <c r="J13" s="15"/>
      <c r="K13" s="15"/>
      <c r="L13" s="15"/>
    </row>
    <row r="14" ht="45.0" customHeight="1">
      <c r="A14" s="1" t="s">
        <v>104</v>
      </c>
      <c r="B14" s="1" t="s">
        <v>116</v>
      </c>
      <c r="C14" s="13"/>
      <c r="D14" s="13"/>
      <c r="E14" s="15"/>
      <c r="F14" s="15"/>
      <c r="G14" s="15"/>
      <c r="H14" s="15"/>
      <c r="I14" s="15"/>
      <c r="J14" s="15"/>
      <c r="K14" s="15"/>
      <c r="L14" s="15"/>
    </row>
    <row r="15" ht="45.0" customHeight="1">
      <c r="A15" s="1" t="s">
        <v>104</v>
      </c>
      <c r="B15" s="1" t="s">
        <v>123</v>
      </c>
      <c r="C15" s="13"/>
      <c r="D15" s="13"/>
      <c r="E15" s="15"/>
      <c r="F15" s="15"/>
      <c r="G15" s="15"/>
      <c r="H15" s="15"/>
      <c r="I15" s="15"/>
      <c r="J15" s="15"/>
      <c r="K15" s="15"/>
      <c r="L15" s="15"/>
    </row>
    <row r="16" ht="45.0" customHeight="1">
      <c r="A16" s="1" t="s">
        <v>104</v>
      </c>
      <c r="B16" s="1" t="s">
        <v>124</v>
      </c>
      <c r="C16" s="13"/>
      <c r="D16" s="13"/>
      <c r="E16" s="15"/>
      <c r="F16" s="15"/>
      <c r="G16" s="15"/>
      <c r="H16" s="15"/>
      <c r="I16" s="15"/>
      <c r="J16" s="15"/>
      <c r="K16" s="15"/>
      <c r="L16" s="15"/>
    </row>
    <row r="17" ht="45.0" customHeight="1">
      <c r="A17" s="1" t="s">
        <v>104</v>
      </c>
      <c r="B17" s="1" t="s">
        <v>128</v>
      </c>
      <c r="C17" s="13"/>
      <c r="D17" s="13"/>
      <c r="E17" s="15"/>
      <c r="F17" s="15"/>
      <c r="G17" s="15"/>
      <c r="H17" s="15"/>
      <c r="I17" s="15"/>
      <c r="J17" s="15"/>
      <c r="K17" s="15"/>
      <c r="L17" s="15"/>
    </row>
    <row r="18" ht="45.0" customHeight="1">
      <c r="A18" s="1" t="s">
        <v>104</v>
      </c>
      <c r="B18" s="1" t="s">
        <v>129</v>
      </c>
      <c r="C18" s="13"/>
      <c r="D18" s="13"/>
      <c r="E18" s="15"/>
      <c r="F18" s="15"/>
      <c r="G18" s="15"/>
      <c r="H18" s="15"/>
      <c r="I18" s="15"/>
      <c r="J18" s="15"/>
      <c r="K18" s="15"/>
      <c r="L18" s="15"/>
    </row>
    <row r="19" ht="45.0" customHeight="1">
      <c r="A19" s="1" t="s">
        <v>104</v>
      </c>
      <c r="B19" s="1" t="s">
        <v>130</v>
      </c>
      <c r="C19" s="13"/>
      <c r="D19" s="13"/>
      <c r="E19" s="15"/>
      <c r="F19" s="15"/>
      <c r="G19" s="15"/>
      <c r="H19" s="15"/>
      <c r="I19" s="15"/>
      <c r="J19" s="15"/>
      <c r="K19" s="15"/>
      <c r="L19" s="15"/>
    </row>
    <row r="20" ht="45.0" customHeight="1">
      <c r="A20" s="1" t="s">
        <v>118</v>
      </c>
      <c r="B20" s="1" t="s">
        <v>100</v>
      </c>
      <c r="C20" s="13"/>
      <c r="D20" s="13"/>
      <c r="E20" s="15"/>
      <c r="F20" s="15"/>
      <c r="G20" s="15"/>
      <c r="H20" s="15"/>
      <c r="I20" s="15"/>
      <c r="J20" s="15"/>
      <c r="K20" s="15"/>
      <c r="L20" s="15"/>
    </row>
    <row r="21" ht="45.0" customHeight="1">
      <c r="A21" s="1" t="s">
        <v>118</v>
      </c>
      <c r="B21" s="1" t="s">
        <v>109</v>
      </c>
      <c r="C21" s="13"/>
      <c r="D21" s="13"/>
      <c r="E21" s="15"/>
      <c r="F21" s="15"/>
      <c r="G21" s="15"/>
      <c r="H21" s="15"/>
      <c r="I21" s="15"/>
      <c r="J21" s="15"/>
      <c r="K21" s="15"/>
      <c r="L21" s="15"/>
    </row>
    <row r="22" ht="45.0" customHeight="1">
      <c r="A22" s="1" t="s">
        <v>118</v>
      </c>
      <c r="B22" s="1" t="s">
        <v>114</v>
      </c>
      <c r="C22" s="13"/>
      <c r="D22" s="13"/>
      <c r="E22" s="15"/>
      <c r="F22" s="15"/>
      <c r="G22" s="15"/>
      <c r="H22" s="15"/>
      <c r="I22" s="15"/>
      <c r="J22" s="15"/>
      <c r="K22" s="15"/>
      <c r="L22" s="15"/>
    </row>
    <row r="23" ht="45.0" customHeight="1">
      <c r="A23" s="1" t="s">
        <v>118</v>
      </c>
      <c r="B23" s="1" t="s">
        <v>116</v>
      </c>
      <c r="C23" s="13"/>
      <c r="D23" s="13"/>
      <c r="E23" s="15"/>
      <c r="F23" s="15"/>
      <c r="G23" s="15"/>
      <c r="H23" s="15"/>
      <c r="I23" s="15"/>
      <c r="J23" s="15"/>
      <c r="K23" s="15"/>
      <c r="L23" s="15"/>
    </row>
    <row r="24" ht="45.0" customHeight="1">
      <c r="A24" s="1" t="s">
        <v>118</v>
      </c>
      <c r="B24" s="1" t="s">
        <v>123</v>
      </c>
      <c r="C24" s="13"/>
      <c r="D24" s="13"/>
      <c r="E24" s="15"/>
      <c r="F24" s="15"/>
      <c r="G24" s="15"/>
      <c r="H24" s="15"/>
      <c r="I24" s="15"/>
      <c r="J24" s="15"/>
      <c r="K24" s="15"/>
      <c r="L24" s="15"/>
    </row>
    <row r="25" ht="45.0" customHeight="1">
      <c r="A25" s="1" t="s">
        <v>118</v>
      </c>
      <c r="B25" s="1" t="s">
        <v>124</v>
      </c>
      <c r="C25" s="13"/>
      <c r="D25" s="13"/>
      <c r="E25" s="15"/>
      <c r="F25" s="15"/>
      <c r="G25" s="15"/>
      <c r="H25" s="15"/>
      <c r="I25" s="15"/>
      <c r="J25" s="15"/>
      <c r="K25" s="15"/>
      <c r="L25" s="15"/>
    </row>
    <row r="26" ht="45.0" customHeight="1">
      <c r="A26" s="1" t="s">
        <v>118</v>
      </c>
      <c r="B26" s="1" t="s">
        <v>128</v>
      </c>
      <c r="C26" s="13"/>
      <c r="D26" s="13"/>
      <c r="E26" s="15"/>
      <c r="F26" s="15"/>
      <c r="G26" s="15"/>
      <c r="H26" s="15"/>
      <c r="I26" s="15"/>
      <c r="J26" s="15"/>
      <c r="K26" s="15"/>
      <c r="L26" s="15"/>
    </row>
    <row r="27" ht="45.0" customHeight="1">
      <c r="A27" s="1" t="s">
        <v>118</v>
      </c>
      <c r="B27" s="1" t="s">
        <v>129</v>
      </c>
      <c r="C27" s="13"/>
      <c r="D27" s="13"/>
      <c r="E27" s="15"/>
      <c r="F27" s="15"/>
      <c r="G27" s="15"/>
      <c r="H27" s="15"/>
      <c r="I27" s="15"/>
      <c r="J27" s="15"/>
      <c r="K27" s="15"/>
      <c r="L27" s="15"/>
    </row>
    <row r="28" ht="45.0" customHeight="1">
      <c r="A28" s="1" t="s">
        <v>118</v>
      </c>
      <c r="B28" s="1" t="s">
        <v>130</v>
      </c>
      <c r="C28" s="13"/>
      <c r="D28" s="13"/>
      <c r="E28" s="15"/>
      <c r="F28" s="15"/>
      <c r="G28" s="15"/>
      <c r="H28" s="15"/>
      <c r="I28" s="15"/>
      <c r="J28" s="15"/>
      <c r="K28" s="15"/>
      <c r="L28" s="15"/>
    </row>
    <row r="29" ht="45.0" customHeight="1">
      <c r="A29" s="1" t="s">
        <v>126</v>
      </c>
      <c r="B29" s="1" t="s">
        <v>100</v>
      </c>
      <c r="C29" s="13"/>
      <c r="D29" s="13"/>
      <c r="E29" s="15"/>
      <c r="F29" s="15"/>
      <c r="G29" s="15"/>
      <c r="H29" s="15"/>
      <c r="I29" s="15"/>
      <c r="J29" s="15"/>
      <c r="K29" s="15"/>
      <c r="L29" s="15"/>
    </row>
    <row r="30" ht="45.0" customHeight="1">
      <c r="A30" s="1" t="s">
        <v>126</v>
      </c>
      <c r="B30" s="1" t="s">
        <v>109</v>
      </c>
      <c r="C30" s="13"/>
      <c r="D30" s="13"/>
      <c r="E30" s="15"/>
      <c r="F30" s="15"/>
      <c r="G30" s="15"/>
      <c r="H30" s="15"/>
      <c r="I30" s="15"/>
      <c r="J30" s="15"/>
      <c r="K30" s="15"/>
      <c r="L30" s="15"/>
    </row>
    <row r="31" ht="45.0" customHeight="1">
      <c r="A31" s="1" t="s">
        <v>126</v>
      </c>
      <c r="B31" s="1" t="s">
        <v>114</v>
      </c>
      <c r="C31" s="13"/>
      <c r="D31" s="13"/>
      <c r="E31" s="15"/>
      <c r="F31" s="15"/>
      <c r="G31" s="15"/>
      <c r="H31" s="15"/>
      <c r="I31" s="15"/>
      <c r="J31" s="15"/>
      <c r="K31" s="15"/>
      <c r="L31" s="15"/>
    </row>
    <row r="32" ht="45.0" customHeight="1">
      <c r="A32" s="1" t="s">
        <v>126</v>
      </c>
      <c r="B32" s="1" t="s">
        <v>116</v>
      </c>
      <c r="C32" s="13"/>
      <c r="D32" s="13"/>
      <c r="E32" s="15"/>
      <c r="F32" s="15"/>
      <c r="G32" s="15"/>
      <c r="H32" s="15"/>
      <c r="I32" s="15"/>
      <c r="J32" s="15"/>
      <c r="K32" s="15"/>
      <c r="L32" s="15"/>
    </row>
    <row r="33" ht="45.0" customHeight="1">
      <c r="A33" s="1" t="s">
        <v>126</v>
      </c>
      <c r="B33" s="1" t="s">
        <v>123</v>
      </c>
      <c r="C33" s="13"/>
      <c r="D33" s="13"/>
      <c r="E33" s="15"/>
      <c r="F33" s="15"/>
      <c r="G33" s="15"/>
      <c r="H33" s="15"/>
      <c r="I33" s="15"/>
      <c r="J33" s="15"/>
      <c r="K33" s="15"/>
      <c r="L33" s="15"/>
    </row>
    <row r="34" ht="45.0" customHeight="1">
      <c r="A34" s="1" t="s">
        <v>126</v>
      </c>
      <c r="B34" s="1" t="s">
        <v>124</v>
      </c>
      <c r="C34" s="13"/>
      <c r="D34" s="13"/>
      <c r="E34" s="15"/>
      <c r="F34" s="15"/>
      <c r="G34" s="15"/>
      <c r="H34" s="15"/>
      <c r="I34" s="15"/>
      <c r="J34" s="15"/>
      <c r="K34" s="15"/>
      <c r="L34" s="15"/>
    </row>
    <row r="35" ht="45.0" customHeight="1">
      <c r="A35" s="1" t="s">
        <v>126</v>
      </c>
      <c r="B35" s="1" t="s">
        <v>128</v>
      </c>
      <c r="C35" s="13"/>
      <c r="D35" s="13"/>
      <c r="E35" s="15"/>
      <c r="F35" s="15"/>
      <c r="G35" s="15"/>
      <c r="H35" s="15"/>
      <c r="I35" s="15"/>
      <c r="J35" s="15"/>
      <c r="K35" s="15"/>
      <c r="L35" s="15"/>
    </row>
    <row r="36" ht="45.0" customHeight="1">
      <c r="A36" s="1" t="s">
        <v>126</v>
      </c>
      <c r="B36" s="1" t="s">
        <v>129</v>
      </c>
      <c r="C36" s="13"/>
      <c r="D36" s="13"/>
      <c r="E36" s="15"/>
      <c r="F36" s="15"/>
      <c r="G36" s="15"/>
      <c r="H36" s="15"/>
      <c r="I36" s="15"/>
      <c r="J36" s="15"/>
      <c r="K36" s="15"/>
      <c r="L36" s="15"/>
    </row>
    <row r="37" ht="45.0" customHeight="1">
      <c r="A37" s="1" t="s">
        <v>126</v>
      </c>
      <c r="B37" s="1" t="s">
        <v>130</v>
      </c>
      <c r="C37" s="13"/>
      <c r="D37" s="13"/>
      <c r="E37" s="15"/>
      <c r="F37" s="15"/>
      <c r="G37" s="15"/>
      <c r="H37" s="15"/>
      <c r="I37" s="15"/>
      <c r="J37" s="15"/>
      <c r="K37" s="15"/>
      <c r="L37" s="15"/>
    </row>
    <row r="38" ht="45.0" customHeight="1">
      <c r="A38" s="1" t="s">
        <v>131</v>
      </c>
      <c r="B38" s="1" t="s">
        <v>100</v>
      </c>
      <c r="C38" s="13"/>
      <c r="D38" s="13"/>
      <c r="E38" s="15"/>
      <c r="F38" s="15"/>
      <c r="G38" s="15"/>
      <c r="H38" s="15"/>
      <c r="I38" s="15"/>
      <c r="J38" s="15"/>
      <c r="K38" s="15"/>
      <c r="L38" s="15"/>
    </row>
    <row r="39" ht="45.0" customHeight="1">
      <c r="A39" s="1" t="s">
        <v>131</v>
      </c>
      <c r="B39" s="1" t="s">
        <v>109</v>
      </c>
      <c r="C39" s="13"/>
      <c r="D39" s="13"/>
      <c r="E39" s="15"/>
      <c r="F39" s="15"/>
      <c r="G39" s="15"/>
      <c r="H39" s="15"/>
      <c r="I39" s="15"/>
      <c r="J39" s="15"/>
      <c r="K39" s="15"/>
      <c r="L39" s="15"/>
    </row>
    <row r="40" ht="45.0" customHeight="1">
      <c r="A40" s="1" t="s">
        <v>131</v>
      </c>
      <c r="B40" s="1" t="s">
        <v>114</v>
      </c>
      <c r="C40" s="13"/>
      <c r="D40" s="13"/>
      <c r="E40" s="15"/>
      <c r="F40" s="15"/>
      <c r="G40" s="15"/>
      <c r="H40" s="15"/>
      <c r="I40" s="15"/>
      <c r="J40" s="15"/>
      <c r="K40" s="15"/>
      <c r="L40" s="15"/>
    </row>
    <row r="41" ht="45.0" customHeight="1">
      <c r="A41" s="1" t="s">
        <v>131</v>
      </c>
      <c r="B41" s="1" t="s">
        <v>116</v>
      </c>
      <c r="C41" s="13"/>
      <c r="D41" s="13"/>
      <c r="E41" s="15"/>
      <c r="F41" s="15"/>
      <c r="G41" s="15"/>
      <c r="H41" s="15"/>
      <c r="I41" s="15"/>
      <c r="J41" s="15"/>
      <c r="K41" s="15"/>
      <c r="L41" s="15"/>
    </row>
    <row r="42" ht="45.0" customHeight="1">
      <c r="A42" s="1" t="s">
        <v>131</v>
      </c>
      <c r="B42" s="1" t="s">
        <v>123</v>
      </c>
      <c r="C42" s="13"/>
      <c r="D42" s="13"/>
      <c r="E42" s="15"/>
      <c r="F42" s="15"/>
      <c r="G42" s="15"/>
      <c r="H42" s="15"/>
      <c r="I42" s="15"/>
      <c r="J42" s="15"/>
      <c r="K42" s="15"/>
      <c r="L42" s="15"/>
    </row>
    <row r="43" ht="45.0" customHeight="1">
      <c r="A43" s="1" t="s">
        <v>131</v>
      </c>
      <c r="B43" s="1" t="s">
        <v>124</v>
      </c>
      <c r="C43" s="13"/>
      <c r="D43" s="13"/>
      <c r="E43" s="15"/>
      <c r="F43" s="15"/>
      <c r="G43" s="15"/>
      <c r="H43" s="15"/>
      <c r="I43" s="15"/>
      <c r="J43" s="15"/>
      <c r="K43" s="15"/>
      <c r="L43" s="15"/>
    </row>
    <row r="44" ht="45.0" customHeight="1">
      <c r="A44" s="1" t="s">
        <v>131</v>
      </c>
      <c r="B44" s="1" t="s">
        <v>128</v>
      </c>
      <c r="C44" s="13"/>
      <c r="D44" s="13"/>
      <c r="E44" s="15"/>
      <c r="F44" s="15"/>
      <c r="G44" s="15"/>
      <c r="H44" s="15"/>
      <c r="I44" s="15"/>
      <c r="J44" s="15"/>
      <c r="K44" s="15"/>
      <c r="L44" s="15"/>
    </row>
    <row r="45" ht="45.0" customHeight="1">
      <c r="A45" s="1" t="s">
        <v>131</v>
      </c>
      <c r="B45" s="1" t="s">
        <v>129</v>
      </c>
      <c r="C45" s="13"/>
      <c r="D45" s="13"/>
      <c r="E45" s="15"/>
      <c r="F45" s="15"/>
      <c r="G45" s="15"/>
      <c r="H45" s="15"/>
      <c r="I45" s="15"/>
      <c r="J45" s="15"/>
      <c r="K45" s="15"/>
      <c r="L45" s="15"/>
    </row>
    <row r="46" ht="45.0" customHeight="1">
      <c r="A46" s="1" t="s">
        <v>131</v>
      </c>
      <c r="B46" s="1" t="s">
        <v>130</v>
      </c>
      <c r="C46" s="13"/>
      <c r="D46" s="13"/>
      <c r="E46" s="15"/>
      <c r="F46" s="15"/>
      <c r="G46" s="15"/>
      <c r="H46" s="15"/>
      <c r="I46" s="15"/>
      <c r="J46" s="15"/>
      <c r="K46" s="15"/>
      <c r="L46" s="15"/>
    </row>
    <row r="47" ht="45.0" customHeight="1">
      <c r="A47" s="1" t="s">
        <v>133</v>
      </c>
      <c r="B47" s="1" t="s">
        <v>100</v>
      </c>
      <c r="C47" s="13"/>
      <c r="D47" s="13"/>
      <c r="E47" s="15"/>
      <c r="F47" s="15"/>
      <c r="G47" s="15"/>
      <c r="H47" s="15"/>
      <c r="I47" s="15"/>
      <c r="J47" s="15"/>
      <c r="K47" s="15"/>
      <c r="L47" s="15"/>
    </row>
    <row r="48" ht="45.0" customHeight="1">
      <c r="A48" s="1" t="s">
        <v>133</v>
      </c>
      <c r="B48" s="1" t="s">
        <v>109</v>
      </c>
      <c r="C48" s="13"/>
      <c r="D48" s="13"/>
      <c r="E48" s="15"/>
      <c r="F48" s="15"/>
      <c r="G48" s="15"/>
      <c r="H48" s="15"/>
      <c r="I48" s="15"/>
      <c r="J48" s="15"/>
      <c r="K48" s="15"/>
      <c r="L48" s="15"/>
    </row>
    <row r="49" ht="45.0" customHeight="1">
      <c r="A49" s="1" t="s">
        <v>133</v>
      </c>
      <c r="B49" s="1" t="s">
        <v>114</v>
      </c>
      <c r="C49" s="13"/>
      <c r="D49" s="13"/>
      <c r="E49" s="15"/>
      <c r="F49" s="15"/>
      <c r="G49" s="15"/>
      <c r="H49" s="15"/>
      <c r="I49" s="15"/>
      <c r="J49" s="15"/>
      <c r="K49" s="15"/>
      <c r="L49" s="15"/>
    </row>
    <row r="50" ht="45.0" customHeight="1">
      <c r="A50" s="1" t="s">
        <v>133</v>
      </c>
      <c r="B50" s="1" t="s">
        <v>116</v>
      </c>
      <c r="C50" s="13"/>
      <c r="D50" s="13"/>
      <c r="E50" s="15"/>
      <c r="F50" s="15"/>
      <c r="G50" s="15"/>
      <c r="H50" s="15"/>
      <c r="I50" s="15"/>
      <c r="J50" s="15"/>
      <c r="K50" s="15"/>
      <c r="L50" s="15"/>
    </row>
    <row r="51" ht="45.0" customHeight="1">
      <c r="A51" s="1" t="s">
        <v>133</v>
      </c>
      <c r="B51" s="1" t="s">
        <v>123</v>
      </c>
      <c r="C51" s="13"/>
      <c r="D51" s="13"/>
      <c r="E51" s="15"/>
      <c r="F51" s="15"/>
      <c r="G51" s="15"/>
      <c r="H51" s="15"/>
      <c r="I51" s="15"/>
      <c r="J51" s="15"/>
      <c r="K51" s="15"/>
      <c r="L51" s="15"/>
    </row>
    <row r="52" ht="45.0" customHeight="1">
      <c r="A52" s="1" t="s">
        <v>133</v>
      </c>
      <c r="B52" s="1" t="s">
        <v>124</v>
      </c>
      <c r="C52" s="13"/>
      <c r="D52" s="13"/>
      <c r="E52" s="15"/>
      <c r="F52" s="15"/>
      <c r="G52" s="15"/>
      <c r="H52" s="15"/>
      <c r="I52" s="15"/>
      <c r="J52" s="15"/>
      <c r="K52" s="15"/>
      <c r="L52" s="15"/>
    </row>
    <row r="53" ht="45.0" customHeight="1">
      <c r="A53" s="1" t="s">
        <v>133</v>
      </c>
      <c r="B53" s="1" t="s">
        <v>128</v>
      </c>
      <c r="C53" s="13"/>
      <c r="D53" s="13"/>
      <c r="E53" s="15"/>
      <c r="F53" s="15"/>
      <c r="G53" s="15"/>
      <c r="H53" s="15"/>
      <c r="I53" s="15"/>
      <c r="J53" s="15"/>
      <c r="K53" s="15"/>
      <c r="L53" s="15"/>
    </row>
    <row r="54" ht="45.0" customHeight="1">
      <c r="A54" s="1" t="s">
        <v>133</v>
      </c>
      <c r="B54" s="1" t="s">
        <v>129</v>
      </c>
      <c r="C54" s="13"/>
      <c r="D54" s="13"/>
      <c r="E54" s="15"/>
      <c r="F54" s="15"/>
      <c r="G54" s="15"/>
      <c r="H54" s="15"/>
      <c r="I54" s="15"/>
      <c r="J54" s="15"/>
      <c r="K54" s="15"/>
      <c r="L54" s="15"/>
    </row>
    <row r="55" ht="45.0" customHeight="1">
      <c r="A55" s="1" t="s">
        <v>133</v>
      </c>
      <c r="B55" s="1" t="s">
        <v>130</v>
      </c>
      <c r="C55" s="13"/>
      <c r="D55" s="13"/>
      <c r="E55" s="15"/>
      <c r="F55" s="15"/>
      <c r="G55" s="15"/>
      <c r="H55" s="15"/>
      <c r="I55" s="15"/>
      <c r="J55" s="15"/>
      <c r="K55" s="15"/>
      <c r="L55" s="15"/>
    </row>
    <row r="56" ht="45.0" customHeight="1">
      <c r="A56" s="1" t="s">
        <v>135</v>
      </c>
      <c r="B56" s="1" t="s">
        <v>100</v>
      </c>
      <c r="C56" s="13"/>
      <c r="D56" s="13"/>
      <c r="E56" s="15"/>
      <c r="F56" s="15"/>
      <c r="G56" s="15"/>
      <c r="H56" s="15"/>
      <c r="I56" s="15"/>
      <c r="J56" s="15"/>
      <c r="K56" s="15"/>
      <c r="L56" s="15"/>
    </row>
    <row r="57" ht="45.0" customHeight="1">
      <c r="A57" s="1" t="s">
        <v>135</v>
      </c>
      <c r="B57" s="1" t="s">
        <v>109</v>
      </c>
      <c r="C57" s="13"/>
      <c r="D57" s="13"/>
      <c r="E57" s="15"/>
      <c r="F57" s="15"/>
      <c r="G57" s="15"/>
      <c r="H57" s="15"/>
      <c r="I57" s="15"/>
      <c r="J57" s="15"/>
      <c r="K57" s="15"/>
      <c r="L57" s="15"/>
    </row>
    <row r="58" ht="45.0" customHeight="1">
      <c r="A58" s="1" t="s">
        <v>135</v>
      </c>
      <c r="B58" s="1" t="s">
        <v>114</v>
      </c>
      <c r="C58" s="13"/>
      <c r="D58" s="13"/>
      <c r="E58" s="15"/>
      <c r="F58" s="15"/>
      <c r="G58" s="15"/>
      <c r="H58" s="15"/>
      <c r="I58" s="15"/>
      <c r="J58" s="15"/>
      <c r="K58" s="15"/>
      <c r="L58" s="15"/>
    </row>
    <row r="59" ht="45.0" customHeight="1">
      <c r="A59" s="1" t="s">
        <v>135</v>
      </c>
      <c r="B59" s="1" t="s">
        <v>116</v>
      </c>
      <c r="C59" s="13"/>
      <c r="D59" s="13"/>
      <c r="E59" s="15"/>
      <c r="F59" s="15"/>
      <c r="G59" s="15"/>
      <c r="H59" s="15"/>
      <c r="I59" s="15"/>
      <c r="J59" s="15"/>
      <c r="K59" s="15"/>
      <c r="L59" s="15"/>
    </row>
    <row r="60" ht="45.0" customHeight="1">
      <c r="A60" s="1" t="s">
        <v>135</v>
      </c>
      <c r="B60" s="1" t="s">
        <v>123</v>
      </c>
      <c r="C60" s="13"/>
      <c r="D60" s="13"/>
      <c r="E60" s="15"/>
      <c r="F60" s="15"/>
      <c r="G60" s="15"/>
      <c r="H60" s="15"/>
      <c r="I60" s="15"/>
      <c r="J60" s="15"/>
      <c r="K60" s="15"/>
      <c r="L60" s="15"/>
    </row>
    <row r="61" ht="45.0" customHeight="1">
      <c r="A61" s="1" t="s">
        <v>135</v>
      </c>
      <c r="B61" s="1" t="s">
        <v>124</v>
      </c>
      <c r="C61" s="13"/>
      <c r="D61" s="13"/>
      <c r="E61" s="15"/>
      <c r="F61" s="15"/>
      <c r="G61" s="15"/>
      <c r="H61" s="15"/>
      <c r="I61" s="15"/>
      <c r="J61" s="15"/>
      <c r="K61" s="15"/>
      <c r="L61" s="15"/>
    </row>
    <row r="62" ht="45.0" customHeight="1">
      <c r="A62" s="1" t="s">
        <v>135</v>
      </c>
      <c r="B62" s="1" t="s">
        <v>128</v>
      </c>
      <c r="C62" s="13"/>
      <c r="D62" s="13"/>
      <c r="E62" s="15"/>
      <c r="F62" s="15"/>
      <c r="G62" s="15"/>
      <c r="H62" s="15"/>
      <c r="I62" s="15"/>
      <c r="J62" s="15"/>
      <c r="K62" s="15"/>
      <c r="L62" s="15"/>
    </row>
    <row r="63" ht="45.0" customHeight="1">
      <c r="A63" s="1" t="s">
        <v>135</v>
      </c>
      <c r="B63" s="1" t="s">
        <v>129</v>
      </c>
      <c r="C63" s="13"/>
      <c r="D63" s="13"/>
      <c r="E63" s="15"/>
      <c r="F63" s="15"/>
      <c r="G63" s="15"/>
      <c r="H63" s="15"/>
      <c r="I63" s="15"/>
      <c r="J63" s="15"/>
      <c r="K63" s="15"/>
      <c r="L63" s="15"/>
    </row>
    <row r="64" ht="45.0" customHeight="1">
      <c r="A64" s="1" t="s">
        <v>135</v>
      </c>
      <c r="B64" s="1" t="s">
        <v>130</v>
      </c>
      <c r="C64" s="13"/>
      <c r="D64" s="13"/>
      <c r="E64" s="15"/>
      <c r="F64" s="15"/>
      <c r="G64" s="15"/>
      <c r="H64" s="15"/>
      <c r="I64" s="15"/>
      <c r="J64" s="15"/>
      <c r="K64" s="15"/>
      <c r="L64" s="15"/>
    </row>
    <row r="65" ht="45.0" customHeight="1">
      <c r="A65" s="1" t="s">
        <v>138</v>
      </c>
      <c r="B65" s="1" t="s">
        <v>100</v>
      </c>
      <c r="C65" s="13"/>
      <c r="D65" s="13"/>
      <c r="E65" s="15"/>
      <c r="F65" s="15"/>
      <c r="G65" s="15"/>
      <c r="H65" s="15"/>
      <c r="I65" s="15"/>
      <c r="J65" s="15"/>
      <c r="K65" s="15"/>
      <c r="L65" s="15"/>
    </row>
    <row r="66" ht="45.0" customHeight="1">
      <c r="A66" s="1" t="s">
        <v>138</v>
      </c>
      <c r="B66" s="1" t="s">
        <v>109</v>
      </c>
      <c r="C66" s="13"/>
      <c r="D66" s="13"/>
      <c r="E66" s="15"/>
      <c r="F66" s="15"/>
      <c r="G66" s="15"/>
      <c r="H66" s="15"/>
      <c r="I66" s="15"/>
      <c r="J66" s="15"/>
      <c r="K66" s="15"/>
      <c r="L66" s="15"/>
    </row>
    <row r="67" ht="45.0" customHeight="1">
      <c r="A67" s="1" t="s">
        <v>138</v>
      </c>
      <c r="B67" s="1" t="s">
        <v>114</v>
      </c>
      <c r="C67" s="13"/>
      <c r="D67" s="13"/>
      <c r="E67" s="15"/>
      <c r="F67" s="15"/>
      <c r="G67" s="15"/>
      <c r="H67" s="15"/>
      <c r="I67" s="15"/>
      <c r="J67" s="15"/>
      <c r="K67" s="15"/>
      <c r="L67" s="15"/>
    </row>
    <row r="68" ht="45.0" customHeight="1">
      <c r="A68" s="1" t="s">
        <v>138</v>
      </c>
      <c r="B68" s="1" t="s">
        <v>116</v>
      </c>
      <c r="C68" s="13"/>
      <c r="D68" s="13"/>
      <c r="E68" s="15"/>
      <c r="F68" s="15"/>
      <c r="G68" s="15"/>
      <c r="H68" s="15"/>
      <c r="I68" s="15"/>
      <c r="J68" s="15"/>
      <c r="K68" s="15"/>
      <c r="L68" s="15"/>
    </row>
    <row r="69" ht="45.0" customHeight="1">
      <c r="A69" s="1" t="s">
        <v>138</v>
      </c>
      <c r="B69" s="1" t="s">
        <v>123</v>
      </c>
      <c r="C69" s="13"/>
      <c r="D69" s="13"/>
      <c r="E69" s="15"/>
      <c r="F69" s="15"/>
      <c r="G69" s="15"/>
      <c r="H69" s="15"/>
      <c r="I69" s="15"/>
      <c r="J69" s="15"/>
      <c r="K69" s="15"/>
      <c r="L69" s="15"/>
    </row>
    <row r="70" ht="45.0" customHeight="1">
      <c r="A70" s="1" t="s">
        <v>138</v>
      </c>
      <c r="B70" s="1" t="s">
        <v>124</v>
      </c>
      <c r="C70" s="13"/>
      <c r="D70" s="13"/>
      <c r="E70" s="15"/>
      <c r="F70" s="15"/>
      <c r="G70" s="15"/>
      <c r="H70" s="15"/>
      <c r="I70" s="15"/>
      <c r="J70" s="15"/>
      <c r="K70" s="15"/>
      <c r="L70" s="15"/>
    </row>
    <row r="71" ht="45.0" customHeight="1">
      <c r="A71" s="1" t="s">
        <v>138</v>
      </c>
      <c r="B71" s="1" t="s">
        <v>128</v>
      </c>
      <c r="C71" s="13"/>
      <c r="D71" s="13"/>
      <c r="E71" s="15"/>
      <c r="F71" s="15"/>
      <c r="G71" s="15"/>
      <c r="H71" s="15"/>
      <c r="I71" s="15"/>
      <c r="J71" s="15"/>
      <c r="K71" s="15"/>
      <c r="L71" s="15"/>
    </row>
    <row r="72" ht="45.0" customHeight="1">
      <c r="A72" s="1" t="s">
        <v>138</v>
      </c>
      <c r="B72" s="1" t="s">
        <v>129</v>
      </c>
      <c r="C72" s="13"/>
      <c r="D72" s="13"/>
      <c r="E72" s="15"/>
      <c r="F72" s="15"/>
      <c r="G72" s="15"/>
      <c r="H72" s="15"/>
      <c r="I72" s="15"/>
      <c r="J72" s="15"/>
      <c r="K72" s="15"/>
      <c r="L72" s="15"/>
    </row>
    <row r="73" ht="45.0" customHeight="1">
      <c r="A73" s="1" t="s">
        <v>138</v>
      </c>
      <c r="B73" s="1" t="s">
        <v>130</v>
      </c>
      <c r="C73" s="13"/>
      <c r="D73" s="13"/>
      <c r="E73" s="15"/>
      <c r="F73" s="15"/>
      <c r="G73" s="15"/>
      <c r="H73" s="15"/>
      <c r="I73" s="15"/>
      <c r="J73" s="15"/>
      <c r="K73" s="15"/>
      <c r="L73" s="15"/>
    </row>
    <row r="74" ht="45.0" customHeight="1">
      <c r="A74" s="1" t="s">
        <v>150</v>
      </c>
      <c r="B74" s="1" t="s">
        <v>100</v>
      </c>
      <c r="C74" s="13"/>
      <c r="D74" s="13"/>
      <c r="E74" s="15"/>
      <c r="F74" s="15"/>
      <c r="G74" s="15"/>
      <c r="H74" s="15"/>
      <c r="I74" s="15"/>
      <c r="J74" s="15"/>
      <c r="K74" s="15"/>
      <c r="L74" s="15"/>
    </row>
    <row r="75" ht="45.0" customHeight="1">
      <c r="A75" s="1" t="s">
        <v>150</v>
      </c>
      <c r="B75" s="1" t="s">
        <v>109</v>
      </c>
      <c r="C75" s="13"/>
      <c r="D75" s="13"/>
      <c r="E75" s="15"/>
      <c r="F75" s="15"/>
      <c r="G75" s="15"/>
      <c r="H75" s="15"/>
      <c r="I75" s="15"/>
      <c r="J75" s="15"/>
      <c r="K75" s="15"/>
      <c r="L75" s="15"/>
    </row>
    <row r="76" ht="45.0" customHeight="1">
      <c r="A76" s="1" t="s">
        <v>150</v>
      </c>
      <c r="B76" s="1" t="s">
        <v>114</v>
      </c>
      <c r="C76" s="13"/>
      <c r="D76" s="13"/>
      <c r="E76" s="15"/>
      <c r="F76" s="15"/>
      <c r="G76" s="15"/>
      <c r="H76" s="15"/>
      <c r="I76" s="15"/>
      <c r="J76" s="15"/>
      <c r="K76" s="15"/>
      <c r="L76" s="15"/>
    </row>
    <row r="77" ht="45.0" customHeight="1">
      <c r="A77" s="1" t="s">
        <v>150</v>
      </c>
      <c r="B77" s="1" t="s">
        <v>116</v>
      </c>
      <c r="C77" s="13"/>
      <c r="D77" s="13"/>
      <c r="E77" s="15"/>
      <c r="F77" s="15"/>
      <c r="G77" s="15"/>
      <c r="H77" s="15"/>
      <c r="I77" s="15"/>
      <c r="J77" s="15"/>
      <c r="K77" s="15"/>
      <c r="L77" s="15"/>
    </row>
    <row r="78" ht="45.0" customHeight="1">
      <c r="A78" s="1" t="s">
        <v>150</v>
      </c>
      <c r="B78" s="1" t="s">
        <v>123</v>
      </c>
      <c r="C78" s="13"/>
      <c r="D78" s="13"/>
      <c r="E78" s="15"/>
      <c r="F78" s="15"/>
      <c r="G78" s="15"/>
      <c r="H78" s="15"/>
      <c r="I78" s="15"/>
      <c r="J78" s="15"/>
      <c r="K78" s="15"/>
      <c r="L78" s="15"/>
    </row>
    <row r="79" ht="45.0" customHeight="1">
      <c r="A79" s="1" t="s">
        <v>150</v>
      </c>
      <c r="B79" s="1" t="s">
        <v>124</v>
      </c>
      <c r="C79" s="13"/>
      <c r="D79" s="13"/>
      <c r="E79" s="15"/>
      <c r="F79" s="15"/>
      <c r="G79" s="15"/>
      <c r="H79" s="15"/>
      <c r="I79" s="15"/>
      <c r="J79" s="15"/>
      <c r="K79" s="15"/>
      <c r="L79" s="15"/>
    </row>
    <row r="80" ht="45.0" customHeight="1">
      <c r="A80" s="1" t="s">
        <v>150</v>
      </c>
      <c r="B80" s="1" t="s">
        <v>128</v>
      </c>
      <c r="C80" s="13"/>
      <c r="D80" s="13"/>
      <c r="E80" s="15"/>
      <c r="F80" s="15"/>
      <c r="G80" s="15"/>
      <c r="H80" s="15"/>
      <c r="I80" s="15"/>
      <c r="J80" s="15"/>
      <c r="K80" s="15"/>
      <c r="L80" s="15"/>
    </row>
    <row r="81" ht="45.0" customHeight="1">
      <c r="A81" s="1" t="s">
        <v>150</v>
      </c>
      <c r="B81" s="1" t="s">
        <v>129</v>
      </c>
      <c r="C81" s="13"/>
      <c r="D81" s="13"/>
      <c r="E81" s="15"/>
      <c r="F81" s="15"/>
      <c r="G81" s="15"/>
      <c r="H81" s="15"/>
      <c r="I81" s="15"/>
      <c r="J81" s="15"/>
      <c r="K81" s="15"/>
      <c r="L81" s="15"/>
    </row>
    <row r="82" ht="45.0" customHeight="1">
      <c r="A82" s="1" t="s">
        <v>150</v>
      </c>
      <c r="B82" s="1" t="s">
        <v>130</v>
      </c>
      <c r="C82" s="13"/>
      <c r="D82" s="13"/>
      <c r="E82" s="15"/>
      <c r="F82" s="15"/>
      <c r="G82" s="15"/>
      <c r="H82" s="15"/>
      <c r="I82" s="15"/>
      <c r="J82" s="15"/>
      <c r="K82" s="15"/>
      <c r="L82" s="15"/>
    </row>
    <row r="83" ht="45.0" customHeight="1">
      <c r="A83" s="1" t="s">
        <v>154</v>
      </c>
      <c r="B83" s="1" t="s">
        <v>100</v>
      </c>
      <c r="C83" s="13"/>
      <c r="D83" s="13"/>
      <c r="E83" s="15"/>
      <c r="F83" s="15"/>
      <c r="G83" s="15"/>
      <c r="H83" s="15"/>
      <c r="I83" s="15"/>
      <c r="J83" s="15"/>
      <c r="K83" s="15"/>
      <c r="L83" s="15"/>
    </row>
    <row r="84" ht="45.0" customHeight="1">
      <c r="A84" s="1" t="s">
        <v>154</v>
      </c>
      <c r="B84" s="1" t="s">
        <v>109</v>
      </c>
      <c r="C84" s="13"/>
      <c r="D84" s="13"/>
      <c r="E84" s="15"/>
      <c r="F84" s="15"/>
      <c r="G84" s="15"/>
      <c r="H84" s="15"/>
      <c r="I84" s="15"/>
      <c r="J84" s="15"/>
      <c r="K84" s="15"/>
      <c r="L84" s="15"/>
    </row>
    <row r="85" ht="45.0" customHeight="1">
      <c r="A85" s="1" t="s">
        <v>154</v>
      </c>
      <c r="B85" s="1" t="s">
        <v>114</v>
      </c>
      <c r="C85" s="13"/>
      <c r="D85" s="13"/>
      <c r="E85" s="15"/>
      <c r="F85" s="15"/>
      <c r="G85" s="15"/>
      <c r="H85" s="15"/>
      <c r="I85" s="15"/>
      <c r="J85" s="15"/>
      <c r="K85" s="15"/>
      <c r="L85" s="15"/>
    </row>
    <row r="86" ht="45.0" customHeight="1">
      <c r="A86" s="1" t="s">
        <v>154</v>
      </c>
      <c r="B86" s="1" t="s">
        <v>116</v>
      </c>
      <c r="C86" s="13"/>
      <c r="D86" s="13"/>
      <c r="E86" s="15"/>
      <c r="F86" s="15"/>
      <c r="G86" s="15"/>
      <c r="H86" s="15"/>
      <c r="I86" s="15"/>
      <c r="J86" s="15"/>
      <c r="K86" s="15"/>
      <c r="L86" s="15"/>
    </row>
    <row r="87" ht="45.0" customHeight="1">
      <c r="A87" s="1" t="s">
        <v>154</v>
      </c>
      <c r="B87" s="1" t="s">
        <v>123</v>
      </c>
      <c r="C87" s="13"/>
      <c r="D87" s="13"/>
      <c r="E87" s="15"/>
      <c r="F87" s="15"/>
      <c r="G87" s="15"/>
      <c r="H87" s="15"/>
      <c r="I87" s="15"/>
      <c r="J87" s="15"/>
      <c r="K87" s="15"/>
      <c r="L87" s="15"/>
    </row>
    <row r="88" ht="45.0" customHeight="1">
      <c r="A88" s="1" t="s">
        <v>154</v>
      </c>
      <c r="B88" s="1" t="s">
        <v>124</v>
      </c>
      <c r="C88" s="13"/>
      <c r="D88" s="13"/>
      <c r="E88" s="15"/>
      <c r="F88" s="15"/>
      <c r="G88" s="15"/>
      <c r="H88" s="15"/>
      <c r="I88" s="15"/>
      <c r="J88" s="15"/>
      <c r="K88" s="15"/>
      <c r="L88" s="15"/>
    </row>
    <row r="89" ht="45.0" customHeight="1">
      <c r="A89" s="1" t="s">
        <v>154</v>
      </c>
      <c r="B89" s="1" t="s">
        <v>128</v>
      </c>
      <c r="C89" s="13"/>
      <c r="D89" s="13"/>
      <c r="E89" s="15"/>
      <c r="F89" s="15"/>
      <c r="G89" s="15"/>
      <c r="H89" s="15"/>
      <c r="I89" s="15"/>
      <c r="J89" s="15"/>
      <c r="K89" s="15"/>
      <c r="L89" s="15"/>
    </row>
    <row r="90" ht="45.0" customHeight="1">
      <c r="A90" s="1" t="s">
        <v>154</v>
      </c>
      <c r="B90" s="1" t="s">
        <v>129</v>
      </c>
      <c r="C90" s="13"/>
      <c r="D90" s="13"/>
      <c r="E90" s="15"/>
      <c r="F90" s="15"/>
      <c r="G90" s="15"/>
      <c r="H90" s="15"/>
      <c r="I90" s="15"/>
      <c r="J90" s="15"/>
      <c r="K90" s="15"/>
      <c r="L90" s="15"/>
    </row>
    <row r="91" ht="45.0" customHeight="1">
      <c r="A91" s="1" t="s">
        <v>154</v>
      </c>
      <c r="B91" s="1" t="s">
        <v>130</v>
      </c>
      <c r="C91" s="13"/>
      <c r="D91" s="13"/>
      <c r="E91" s="15"/>
      <c r="F91" s="15"/>
      <c r="G91" s="15"/>
      <c r="H91" s="15"/>
      <c r="I91" s="15"/>
      <c r="J91" s="15"/>
      <c r="K91" s="15"/>
      <c r="L91" s="15"/>
    </row>
    <row r="92" ht="15.75" customHeight="1">
      <c r="A92" s="19"/>
      <c r="C92" s="17"/>
      <c r="D92" s="17"/>
      <c r="E92" s="18"/>
      <c r="F92" s="18"/>
      <c r="G92" s="18"/>
      <c r="H92" s="18"/>
      <c r="I92" s="18"/>
      <c r="J92" s="18"/>
      <c r="K92" s="18"/>
      <c r="L92" s="18"/>
    </row>
    <row r="93" ht="15.75" customHeight="1">
      <c r="A93" s="19"/>
      <c r="C93" s="17"/>
      <c r="D93" s="17"/>
      <c r="E93" s="18"/>
      <c r="F93" s="18"/>
      <c r="G93" s="18"/>
      <c r="H93" s="18"/>
      <c r="I93" s="18"/>
      <c r="J93" s="18"/>
      <c r="K93" s="18"/>
      <c r="L93" s="18"/>
    </row>
    <row r="94" ht="15.75" customHeight="1">
      <c r="A94" s="19"/>
      <c r="C94" s="17"/>
      <c r="D94" s="17"/>
      <c r="E94" s="18"/>
      <c r="F94" s="18"/>
      <c r="G94" s="18"/>
      <c r="H94" s="18"/>
      <c r="I94" s="18"/>
      <c r="J94" s="18"/>
      <c r="K94" s="18"/>
      <c r="L94" s="18"/>
    </row>
    <row r="95" ht="15.75" customHeight="1">
      <c r="A95" s="19"/>
      <c r="C95" s="17"/>
      <c r="D95" s="17"/>
      <c r="E95" s="18"/>
      <c r="F95" s="18"/>
      <c r="G95" s="18"/>
      <c r="H95" s="18"/>
      <c r="I95" s="18"/>
      <c r="J95" s="18"/>
      <c r="K95" s="18"/>
      <c r="L95" s="18"/>
    </row>
    <row r="96" ht="15.75" customHeight="1">
      <c r="A96" s="19"/>
      <c r="C96" s="17"/>
      <c r="D96" s="17"/>
      <c r="E96" s="18"/>
      <c r="F96" s="18"/>
      <c r="G96" s="18"/>
      <c r="H96" s="18"/>
      <c r="I96" s="18"/>
      <c r="J96" s="18"/>
      <c r="K96" s="18"/>
      <c r="L96" s="18"/>
    </row>
    <row r="97" ht="15.75" customHeight="1">
      <c r="A97" s="19"/>
      <c r="C97" s="17"/>
      <c r="D97" s="17"/>
      <c r="E97" s="18"/>
      <c r="F97" s="18"/>
      <c r="G97" s="18"/>
      <c r="H97" s="18"/>
      <c r="I97" s="18"/>
      <c r="J97" s="18"/>
      <c r="K97" s="18"/>
      <c r="L97" s="18"/>
    </row>
    <row r="98" ht="15.75" customHeight="1">
      <c r="A98" s="19"/>
      <c r="C98" s="17"/>
      <c r="D98" s="17"/>
      <c r="E98" s="18"/>
      <c r="F98" s="18"/>
      <c r="G98" s="18"/>
      <c r="H98" s="18"/>
      <c r="I98" s="18"/>
      <c r="J98" s="18"/>
      <c r="K98" s="18"/>
      <c r="L98" s="18"/>
    </row>
    <row r="99" ht="15.75" customHeight="1">
      <c r="A99" s="19"/>
      <c r="C99" s="17"/>
      <c r="D99" s="17"/>
      <c r="E99" s="18"/>
      <c r="F99" s="18"/>
      <c r="G99" s="18"/>
      <c r="H99" s="18"/>
      <c r="I99" s="18"/>
      <c r="J99" s="18"/>
      <c r="K99" s="18"/>
      <c r="L99" s="18"/>
    </row>
    <row r="100" ht="15.75" customHeight="1">
      <c r="A100" s="19"/>
      <c r="C100" s="17"/>
      <c r="D100" s="17"/>
      <c r="E100" s="18"/>
      <c r="F100" s="18"/>
      <c r="G100" s="18"/>
      <c r="H100" s="18"/>
      <c r="I100" s="18"/>
      <c r="J100" s="18"/>
      <c r="K100" s="18"/>
      <c r="L100" s="18"/>
    </row>
    <row r="101" ht="15.75" customHeight="1">
      <c r="A101" s="19"/>
      <c r="C101" s="17"/>
      <c r="D101" s="17"/>
      <c r="E101" s="18"/>
      <c r="F101" s="18"/>
      <c r="G101" s="18"/>
      <c r="H101" s="18"/>
      <c r="I101" s="18"/>
      <c r="J101" s="18"/>
      <c r="K101" s="18"/>
      <c r="L101" s="18"/>
    </row>
    <row r="102" ht="15.75" customHeight="1">
      <c r="A102" s="19"/>
      <c r="C102" s="17"/>
      <c r="D102" s="17"/>
      <c r="E102" s="18"/>
      <c r="F102" s="18"/>
      <c r="G102" s="18"/>
      <c r="H102" s="18"/>
      <c r="I102" s="18"/>
      <c r="J102" s="18"/>
      <c r="K102" s="18"/>
      <c r="L102" s="18"/>
    </row>
    <row r="103" ht="15.75" customHeight="1">
      <c r="A103" s="19"/>
      <c r="C103" s="17"/>
      <c r="D103" s="17"/>
      <c r="E103" s="18"/>
      <c r="F103" s="18"/>
      <c r="G103" s="18"/>
      <c r="H103" s="18"/>
      <c r="I103" s="18"/>
      <c r="J103" s="18"/>
      <c r="K103" s="18"/>
      <c r="L103" s="18"/>
    </row>
    <row r="104" ht="15.75" customHeight="1">
      <c r="A104" s="19"/>
      <c r="C104" s="17"/>
      <c r="D104" s="17"/>
      <c r="E104" s="18"/>
      <c r="F104" s="18"/>
      <c r="G104" s="18"/>
      <c r="H104" s="18"/>
      <c r="I104" s="18"/>
      <c r="J104" s="18"/>
      <c r="K104" s="18"/>
      <c r="L104" s="18"/>
    </row>
    <row r="105" ht="15.75" customHeight="1">
      <c r="A105" s="19"/>
      <c r="C105" s="17"/>
      <c r="D105" s="17"/>
      <c r="E105" s="18"/>
      <c r="F105" s="18"/>
      <c r="G105" s="18"/>
      <c r="H105" s="18"/>
      <c r="I105" s="18"/>
      <c r="J105" s="18"/>
      <c r="K105" s="18"/>
      <c r="L105" s="18"/>
    </row>
    <row r="106" ht="15.75" customHeight="1">
      <c r="A106" s="19"/>
      <c r="C106" s="17"/>
      <c r="D106" s="17"/>
      <c r="E106" s="18"/>
      <c r="F106" s="18"/>
      <c r="G106" s="18"/>
      <c r="H106" s="18"/>
      <c r="I106" s="18"/>
      <c r="J106" s="18"/>
      <c r="K106" s="18"/>
      <c r="L106" s="18"/>
    </row>
    <row r="107" ht="15.75" customHeight="1">
      <c r="A107" s="19"/>
      <c r="C107" s="17"/>
      <c r="D107" s="17"/>
      <c r="E107" s="18"/>
      <c r="F107" s="18"/>
      <c r="G107" s="18"/>
      <c r="H107" s="18"/>
      <c r="I107" s="18"/>
      <c r="J107" s="18"/>
      <c r="K107" s="18"/>
      <c r="L107" s="18"/>
    </row>
    <row r="108" ht="15.75" customHeight="1">
      <c r="A108" s="19"/>
      <c r="C108" s="17"/>
      <c r="D108" s="17"/>
      <c r="E108" s="18"/>
      <c r="F108" s="18"/>
      <c r="G108" s="18"/>
      <c r="H108" s="18"/>
      <c r="I108" s="18"/>
      <c r="J108" s="18"/>
      <c r="K108" s="18"/>
      <c r="L108" s="18"/>
    </row>
    <row r="109" ht="15.75" customHeight="1">
      <c r="A109" s="19"/>
      <c r="C109" s="17"/>
      <c r="D109" s="17"/>
      <c r="E109" s="18"/>
      <c r="F109" s="18"/>
      <c r="G109" s="18"/>
      <c r="H109" s="18"/>
      <c r="I109" s="18"/>
      <c r="J109" s="18"/>
      <c r="K109" s="18"/>
      <c r="L109" s="18"/>
    </row>
    <row r="110" ht="15.75" customHeight="1">
      <c r="A110" s="19"/>
      <c r="C110" s="17"/>
      <c r="D110" s="17"/>
      <c r="E110" s="18"/>
      <c r="F110" s="18"/>
      <c r="G110" s="18"/>
      <c r="H110" s="18"/>
      <c r="I110" s="18"/>
      <c r="J110" s="18"/>
      <c r="K110" s="18"/>
      <c r="L110" s="18"/>
    </row>
    <row r="111" ht="15.75" customHeight="1">
      <c r="A111" s="19"/>
      <c r="C111" s="17"/>
      <c r="D111" s="17"/>
      <c r="E111" s="18"/>
      <c r="F111" s="18"/>
      <c r="G111" s="18"/>
      <c r="H111" s="18"/>
      <c r="I111" s="18"/>
      <c r="J111" s="18"/>
      <c r="K111" s="18"/>
      <c r="L111" s="18"/>
    </row>
    <row r="112" ht="15.75" customHeight="1">
      <c r="A112" s="19"/>
      <c r="C112" s="17"/>
      <c r="D112" s="17"/>
      <c r="E112" s="18"/>
      <c r="F112" s="18"/>
      <c r="G112" s="18"/>
      <c r="H112" s="18"/>
      <c r="I112" s="18"/>
      <c r="J112" s="18"/>
      <c r="K112" s="18"/>
      <c r="L112" s="18"/>
    </row>
    <row r="113" ht="15.75" customHeight="1">
      <c r="A113" s="19"/>
      <c r="C113" s="17"/>
      <c r="D113" s="17"/>
      <c r="E113" s="18"/>
      <c r="F113" s="18"/>
      <c r="G113" s="18"/>
      <c r="H113" s="18"/>
      <c r="I113" s="18"/>
      <c r="J113" s="18"/>
      <c r="K113" s="18"/>
      <c r="L113" s="18"/>
    </row>
    <row r="114" ht="15.75" customHeight="1">
      <c r="A114" s="19"/>
      <c r="C114" s="17"/>
      <c r="D114" s="17"/>
      <c r="E114" s="18"/>
      <c r="F114" s="18"/>
      <c r="G114" s="18"/>
      <c r="H114" s="18"/>
      <c r="I114" s="18"/>
      <c r="J114" s="18"/>
      <c r="K114" s="18"/>
      <c r="L114" s="18"/>
    </row>
    <row r="115" ht="15.75" customHeight="1">
      <c r="A115" s="19"/>
      <c r="C115" s="17"/>
      <c r="D115" s="17"/>
      <c r="E115" s="18"/>
      <c r="F115" s="18"/>
      <c r="G115" s="18"/>
      <c r="H115" s="18"/>
      <c r="I115" s="18"/>
      <c r="J115" s="18"/>
      <c r="K115" s="18"/>
      <c r="L115" s="18"/>
    </row>
    <row r="116" ht="15.75" customHeight="1">
      <c r="A116" s="19"/>
      <c r="C116" s="17"/>
      <c r="D116" s="17"/>
      <c r="E116" s="18"/>
      <c r="F116" s="18"/>
      <c r="G116" s="18"/>
      <c r="H116" s="18"/>
      <c r="I116" s="18"/>
      <c r="J116" s="18"/>
      <c r="K116" s="18"/>
      <c r="L116" s="18"/>
    </row>
    <row r="117" ht="15.75" customHeight="1">
      <c r="A117" s="19"/>
      <c r="C117" s="17"/>
      <c r="D117" s="17"/>
      <c r="E117" s="18"/>
      <c r="F117" s="18"/>
      <c r="G117" s="18"/>
      <c r="H117" s="18"/>
      <c r="I117" s="18"/>
      <c r="J117" s="18"/>
      <c r="K117" s="18"/>
      <c r="L117" s="18"/>
    </row>
    <row r="118" ht="15.75" customHeight="1">
      <c r="A118" s="19"/>
      <c r="C118" s="17"/>
      <c r="D118" s="17"/>
      <c r="E118" s="18"/>
      <c r="F118" s="18"/>
      <c r="G118" s="18"/>
      <c r="H118" s="18"/>
      <c r="I118" s="18"/>
      <c r="J118" s="18"/>
      <c r="K118" s="18"/>
      <c r="L118" s="18"/>
    </row>
    <row r="119" ht="15.75" customHeight="1">
      <c r="A119" s="19"/>
      <c r="C119" s="17"/>
      <c r="D119" s="17"/>
      <c r="E119" s="18"/>
      <c r="F119" s="18"/>
      <c r="G119" s="18"/>
      <c r="H119" s="18"/>
      <c r="I119" s="18"/>
      <c r="J119" s="18"/>
      <c r="K119" s="18"/>
      <c r="L119" s="18"/>
    </row>
    <row r="120" ht="15.75" customHeight="1">
      <c r="A120" s="19"/>
      <c r="C120" s="17"/>
      <c r="D120" s="17"/>
      <c r="E120" s="18"/>
      <c r="F120" s="18"/>
      <c r="G120" s="18"/>
      <c r="H120" s="18"/>
      <c r="I120" s="18"/>
      <c r="J120" s="18"/>
      <c r="K120" s="18"/>
      <c r="L120" s="18"/>
    </row>
    <row r="121" ht="15.75" customHeight="1">
      <c r="A121" s="19"/>
      <c r="C121" s="17"/>
      <c r="D121" s="17"/>
      <c r="E121" s="18"/>
      <c r="F121" s="18"/>
      <c r="G121" s="18"/>
      <c r="H121" s="18"/>
      <c r="I121" s="18"/>
      <c r="J121" s="18"/>
      <c r="K121" s="18"/>
      <c r="L121" s="18"/>
    </row>
    <row r="122" ht="15.75" customHeight="1">
      <c r="A122" s="19"/>
      <c r="C122" s="17"/>
      <c r="D122" s="17"/>
      <c r="E122" s="18"/>
      <c r="F122" s="18"/>
      <c r="G122" s="18"/>
      <c r="H122" s="18"/>
      <c r="I122" s="18"/>
      <c r="J122" s="18"/>
      <c r="K122" s="18"/>
      <c r="L122" s="18"/>
    </row>
    <row r="123" ht="15.75" customHeight="1">
      <c r="A123" s="19"/>
      <c r="C123" s="17"/>
      <c r="D123" s="17"/>
      <c r="E123" s="18"/>
      <c r="F123" s="18"/>
      <c r="G123" s="18"/>
      <c r="H123" s="18"/>
      <c r="I123" s="18"/>
      <c r="J123" s="18"/>
      <c r="K123" s="18"/>
      <c r="L123" s="18"/>
    </row>
    <row r="124" ht="15.75" customHeight="1">
      <c r="A124" s="19"/>
      <c r="C124" s="17"/>
      <c r="D124" s="17"/>
      <c r="E124" s="18"/>
      <c r="F124" s="18"/>
      <c r="G124" s="18"/>
      <c r="H124" s="18"/>
      <c r="I124" s="18"/>
      <c r="J124" s="18"/>
      <c r="K124" s="18"/>
      <c r="L124" s="18"/>
    </row>
    <row r="125" ht="15.75" customHeight="1">
      <c r="A125" s="19"/>
      <c r="C125" s="17"/>
      <c r="D125" s="17"/>
      <c r="E125" s="18"/>
      <c r="F125" s="18"/>
      <c r="G125" s="18"/>
      <c r="H125" s="18"/>
      <c r="I125" s="18"/>
      <c r="J125" s="18"/>
      <c r="K125" s="18"/>
      <c r="L125" s="18"/>
    </row>
    <row r="126" ht="15.75" customHeight="1">
      <c r="A126" s="19"/>
      <c r="C126" s="17"/>
      <c r="D126" s="17"/>
      <c r="E126" s="18"/>
      <c r="F126" s="18"/>
      <c r="G126" s="18"/>
      <c r="H126" s="18"/>
      <c r="I126" s="18"/>
      <c r="J126" s="18"/>
      <c r="K126" s="18"/>
      <c r="L126" s="18"/>
    </row>
    <row r="127" ht="15.75" customHeight="1">
      <c r="A127" s="19"/>
      <c r="C127" s="17"/>
      <c r="D127" s="17"/>
      <c r="E127" s="18"/>
      <c r="F127" s="18"/>
      <c r="G127" s="18"/>
      <c r="H127" s="18"/>
      <c r="I127" s="18"/>
      <c r="J127" s="18"/>
      <c r="K127" s="18"/>
      <c r="L127" s="18"/>
    </row>
    <row r="128" ht="15.75" customHeight="1">
      <c r="A128" s="19"/>
      <c r="C128" s="17"/>
      <c r="D128" s="17"/>
      <c r="E128" s="18"/>
      <c r="F128" s="18"/>
      <c r="G128" s="18"/>
      <c r="H128" s="18"/>
      <c r="I128" s="18"/>
      <c r="J128" s="18"/>
      <c r="K128" s="18"/>
      <c r="L128" s="18"/>
    </row>
    <row r="129" ht="15.75" customHeight="1">
      <c r="A129" s="19"/>
      <c r="C129" s="17"/>
      <c r="D129" s="17"/>
      <c r="E129" s="18"/>
      <c r="F129" s="18"/>
      <c r="G129" s="18"/>
      <c r="H129" s="18"/>
      <c r="I129" s="18"/>
      <c r="J129" s="18"/>
      <c r="K129" s="18"/>
      <c r="L129" s="18"/>
    </row>
    <row r="130" ht="15.75" customHeight="1">
      <c r="A130" s="19"/>
      <c r="C130" s="17"/>
      <c r="D130" s="17"/>
      <c r="E130" s="18"/>
      <c r="F130" s="18"/>
      <c r="G130" s="18"/>
      <c r="H130" s="18"/>
      <c r="I130" s="18"/>
      <c r="J130" s="18"/>
      <c r="K130" s="18"/>
      <c r="L130" s="18"/>
    </row>
    <row r="131" ht="15.75" customHeight="1">
      <c r="A131" s="19"/>
      <c r="C131" s="17"/>
      <c r="D131" s="17"/>
      <c r="E131" s="18"/>
      <c r="F131" s="18"/>
      <c r="G131" s="18"/>
      <c r="H131" s="18"/>
      <c r="I131" s="18"/>
      <c r="J131" s="18"/>
      <c r="K131" s="18"/>
      <c r="L131" s="18"/>
    </row>
    <row r="132" ht="15.75" customHeight="1">
      <c r="A132" s="19"/>
      <c r="C132" s="17"/>
      <c r="D132" s="17"/>
      <c r="E132" s="18"/>
      <c r="F132" s="18"/>
      <c r="G132" s="18"/>
      <c r="H132" s="18"/>
      <c r="I132" s="18"/>
      <c r="J132" s="18"/>
      <c r="K132" s="18"/>
      <c r="L132" s="18"/>
    </row>
    <row r="133" ht="15.75" customHeight="1">
      <c r="A133" s="19"/>
      <c r="C133" s="17"/>
      <c r="D133" s="17"/>
      <c r="E133" s="18"/>
      <c r="F133" s="18"/>
      <c r="G133" s="18"/>
      <c r="H133" s="18"/>
      <c r="I133" s="18"/>
      <c r="J133" s="18"/>
      <c r="K133" s="18"/>
      <c r="L133" s="18"/>
    </row>
    <row r="134" ht="15.75" customHeight="1">
      <c r="A134" s="19"/>
      <c r="C134" s="17"/>
      <c r="D134" s="17"/>
      <c r="E134" s="18"/>
      <c r="F134" s="18"/>
      <c r="G134" s="18"/>
      <c r="H134" s="18"/>
      <c r="I134" s="18"/>
      <c r="J134" s="18"/>
      <c r="K134" s="18"/>
      <c r="L134" s="18"/>
    </row>
    <row r="135" ht="15.75" customHeight="1">
      <c r="A135" s="19"/>
      <c r="C135" s="17"/>
      <c r="D135" s="17"/>
      <c r="E135" s="18"/>
      <c r="F135" s="18"/>
      <c r="G135" s="18"/>
      <c r="H135" s="18"/>
      <c r="I135" s="18"/>
      <c r="J135" s="18"/>
      <c r="K135" s="18"/>
      <c r="L135" s="18"/>
    </row>
    <row r="136" ht="15.75" customHeight="1">
      <c r="A136" s="19"/>
      <c r="C136" s="17"/>
      <c r="D136" s="17"/>
      <c r="E136" s="18"/>
      <c r="F136" s="18"/>
      <c r="G136" s="18"/>
      <c r="H136" s="18"/>
      <c r="I136" s="18"/>
      <c r="J136" s="18"/>
      <c r="K136" s="18"/>
      <c r="L136" s="18"/>
    </row>
    <row r="137" ht="15.75" customHeight="1">
      <c r="A137" s="19"/>
      <c r="C137" s="17"/>
      <c r="D137" s="17"/>
      <c r="E137" s="18"/>
      <c r="F137" s="18"/>
      <c r="G137" s="18"/>
      <c r="H137" s="18"/>
      <c r="I137" s="18"/>
      <c r="J137" s="18"/>
      <c r="K137" s="18"/>
      <c r="L137" s="18"/>
    </row>
    <row r="138" ht="15.75" customHeight="1">
      <c r="A138" s="19"/>
      <c r="C138" s="17"/>
      <c r="D138" s="17"/>
      <c r="E138" s="18"/>
      <c r="F138" s="18"/>
      <c r="G138" s="18"/>
      <c r="H138" s="18"/>
      <c r="I138" s="18"/>
      <c r="J138" s="18"/>
      <c r="K138" s="18"/>
      <c r="L138" s="18"/>
    </row>
    <row r="139" ht="15.75" customHeight="1">
      <c r="A139" s="19"/>
      <c r="C139" s="17"/>
      <c r="D139" s="17"/>
      <c r="E139" s="18"/>
      <c r="F139" s="18"/>
      <c r="G139" s="18"/>
      <c r="H139" s="18"/>
      <c r="I139" s="18"/>
      <c r="J139" s="18"/>
      <c r="K139" s="18"/>
      <c r="L139" s="18"/>
    </row>
    <row r="140" ht="15.75" customHeight="1">
      <c r="A140" s="19"/>
      <c r="C140" s="17"/>
      <c r="D140" s="17"/>
      <c r="E140" s="18"/>
      <c r="F140" s="18"/>
      <c r="G140" s="18"/>
      <c r="H140" s="18"/>
      <c r="I140" s="18"/>
      <c r="J140" s="18"/>
      <c r="K140" s="18"/>
      <c r="L140" s="18"/>
    </row>
    <row r="141" ht="15.75" customHeight="1">
      <c r="A141" s="19"/>
      <c r="C141" s="17"/>
      <c r="D141" s="17"/>
      <c r="E141" s="18"/>
      <c r="F141" s="18"/>
      <c r="G141" s="18"/>
      <c r="H141" s="18"/>
      <c r="I141" s="18"/>
      <c r="J141" s="18"/>
      <c r="K141" s="18"/>
      <c r="L141" s="18"/>
    </row>
    <row r="142" ht="15.75" customHeight="1">
      <c r="A142" s="19"/>
      <c r="C142" s="17"/>
      <c r="D142" s="17"/>
      <c r="E142" s="18"/>
      <c r="F142" s="18"/>
      <c r="G142" s="18"/>
      <c r="H142" s="18"/>
      <c r="I142" s="18"/>
      <c r="J142" s="18"/>
      <c r="K142" s="18"/>
      <c r="L142" s="18"/>
    </row>
    <row r="143" ht="15.75" customHeight="1">
      <c r="A143" s="19"/>
      <c r="C143" s="17"/>
      <c r="D143" s="17"/>
      <c r="E143" s="18"/>
      <c r="F143" s="18"/>
      <c r="G143" s="18"/>
      <c r="H143" s="18"/>
      <c r="I143" s="18"/>
      <c r="J143" s="18"/>
      <c r="K143" s="18"/>
      <c r="L143" s="18"/>
    </row>
    <row r="144" ht="15.75" customHeight="1">
      <c r="A144" s="19"/>
      <c r="C144" s="17"/>
      <c r="D144" s="17"/>
      <c r="E144" s="18"/>
      <c r="F144" s="18"/>
      <c r="G144" s="18"/>
      <c r="H144" s="18"/>
      <c r="I144" s="18"/>
      <c r="J144" s="18"/>
      <c r="K144" s="18"/>
      <c r="L144" s="18"/>
    </row>
    <row r="145" ht="15.75" customHeight="1">
      <c r="A145" s="19"/>
      <c r="C145" s="17"/>
      <c r="D145" s="17"/>
      <c r="E145" s="18"/>
      <c r="F145" s="18"/>
      <c r="G145" s="18"/>
      <c r="H145" s="18"/>
      <c r="I145" s="18"/>
      <c r="J145" s="18"/>
      <c r="K145" s="18"/>
      <c r="L145" s="18"/>
    </row>
    <row r="146" ht="15.75" customHeight="1">
      <c r="A146" s="19"/>
      <c r="C146" s="17"/>
      <c r="D146" s="17"/>
      <c r="E146" s="18"/>
      <c r="F146" s="18"/>
      <c r="G146" s="18"/>
      <c r="H146" s="18"/>
      <c r="I146" s="18"/>
      <c r="J146" s="18"/>
      <c r="K146" s="18"/>
      <c r="L146" s="18"/>
    </row>
    <row r="147" ht="15.75" customHeight="1">
      <c r="A147" s="19"/>
      <c r="C147" s="17"/>
      <c r="D147" s="17"/>
      <c r="E147" s="18"/>
      <c r="F147" s="18"/>
      <c r="G147" s="18"/>
      <c r="H147" s="18"/>
      <c r="I147" s="18"/>
      <c r="J147" s="18"/>
      <c r="K147" s="18"/>
      <c r="L147" s="18"/>
    </row>
    <row r="148" ht="15.75" customHeight="1">
      <c r="A148" s="19"/>
      <c r="C148" s="17"/>
      <c r="D148" s="17"/>
      <c r="E148" s="18"/>
      <c r="F148" s="18"/>
      <c r="G148" s="18"/>
      <c r="H148" s="18"/>
      <c r="I148" s="18"/>
      <c r="J148" s="18"/>
      <c r="K148" s="18"/>
      <c r="L148" s="18"/>
    </row>
    <row r="149" ht="15.75" customHeight="1">
      <c r="A149" s="19"/>
      <c r="C149" s="17"/>
      <c r="D149" s="17"/>
      <c r="E149" s="18"/>
      <c r="F149" s="18"/>
      <c r="G149" s="18"/>
      <c r="H149" s="18"/>
      <c r="I149" s="18"/>
      <c r="J149" s="18"/>
      <c r="K149" s="18"/>
      <c r="L149" s="18"/>
    </row>
    <row r="150" ht="15.75" customHeight="1">
      <c r="A150" s="19"/>
      <c r="C150" s="17"/>
      <c r="D150" s="17"/>
      <c r="E150" s="18"/>
      <c r="F150" s="18"/>
      <c r="G150" s="18"/>
      <c r="H150" s="18"/>
      <c r="I150" s="18"/>
      <c r="J150" s="18"/>
      <c r="K150" s="18"/>
      <c r="L150" s="18"/>
    </row>
    <row r="151" ht="15.75" customHeight="1">
      <c r="A151" s="19"/>
      <c r="C151" s="17"/>
      <c r="D151" s="17"/>
      <c r="E151" s="18"/>
      <c r="F151" s="18"/>
      <c r="G151" s="18"/>
      <c r="H151" s="18"/>
      <c r="I151" s="18"/>
      <c r="J151" s="18"/>
      <c r="K151" s="18"/>
      <c r="L151" s="18"/>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2:F151">
      <formula1>"bpm,mmHg,breaths/min,percent,mg/dL,deg C,minutes,Not applicable,Unspecified"</formula1>
    </dataValidation>
    <dataValidation type="list" allowBlank="1" sqref="C2:C151">
      <formula1>"Reported,Explicitly negated,Uncertain,Not mentioned"</formula1>
    </dataValidation>
    <dataValidation type="list" allowBlank="1" sqref="H2:H151">
      <formula1>"Current transcript,Prior report,Both,Not applicable"</formula1>
    </dataValidation>
    <dataValidation type="list" allowBlank="1" sqref="G2:G151">
      <formula1>"Current,Earlier,Unclear,Not applicable"</formula1>
    </dataValidation>
    <dataValidation type="list" allowBlank="1" sqref="A2:A151">
      <formula1>"SYN001,SYN002,SYN003,SYN004,SYN005,SYN006,SYN007,SYN008,SYN009,SYN010"</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2" width="14.0"/>
    <col customWidth="1" min="3" max="3" width="17.0"/>
    <col customWidth="1" min="4" max="4" width="55.0"/>
    <col customWidth="1" min="5" max="5" width="65.0"/>
    <col customWidth="1" min="6" max="6" width="85.0"/>
    <col customWidth="1" min="7" max="7" width="18.0"/>
    <col customWidth="1" min="8" max="8" width="24.0"/>
    <col customWidth="1" min="9" max="9" width="23.0"/>
    <col customWidth="1" min="10" max="11" width="18.0"/>
    <col customWidth="1" min="12" max="12" width="65.0"/>
    <col customWidth="1" min="13" max="13" width="60.0"/>
    <col customWidth="1" min="14" max="14" width="25.0"/>
    <col customWidth="1" min="15" max="15" width="55.0"/>
    <col customWidth="1" min="16" max="26" width="8.63"/>
  </cols>
  <sheetData>
    <row r="1" ht="43.5" customHeight="1">
      <c r="A1" s="8" t="s">
        <v>137</v>
      </c>
      <c r="B1" s="8" t="s">
        <v>14</v>
      </c>
      <c r="C1" s="8" t="s">
        <v>140</v>
      </c>
      <c r="D1" s="8" t="s">
        <v>141</v>
      </c>
      <c r="E1" s="8" t="s">
        <v>142</v>
      </c>
      <c r="F1" s="8" t="s">
        <v>143</v>
      </c>
      <c r="G1" s="8" t="s">
        <v>144</v>
      </c>
      <c r="H1" s="8" t="s">
        <v>145</v>
      </c>
      <c r="I1" s="8" t="s">
        <v>24</v>
      </c>
      <c r="J1" s="8" t="s">
        <v>25</v>
      </c>
      <c r="K1" s="8" t="s">
        <v>28</v>
      </c>
      <c r="L1" s="8" t="s">
        <v>146</v>
      </c>
      <c r="M1" s="8" t="s">
        <v>147</v>
      </c>
      <c r="N1" s="8" t="s">
        <v>26</v>
      </c>
      <c r="O1" s="8" t="s">
        <v>41</v>
      </c>
    </row>
    <row r="2" ht="114.75" customHeight="1">
      <c r="A2" s="1" t="s">
        <v>148</v>
      </c>
      <c r="B2" s="1" t="s">
        <v>46</v>
      </c>
      <c r="C2" s="1">
        <v>12.0</v>
      </c>
      <c r="D2" s="14" t="s">
        <v>149</v>
      </c>
      <c r="E2" s="14" t="s">
        <v>19</v>
      </c>
      <c r="F2" s="14" t="s">
        <v>21</v>
      </c>
      <c r="G2" s="13"/>
      <c r="H2" s="13"/>
      <c r="I2" s="13" t="s">
        <v>49</v>
      </c>
      <c r="J2" s="13"/>
      <c r="K2" s="13"/>
      <c r="L2" s="15"/>
      <c r="M2" s="15"/>
      <c r="N2" s="15"/>
      <c r="O2" s="15"/>
    </row>
    <row r="3" ht="114.75" customHeight="1">
      <c r="A3" s="1" t="s">
        <v>148</v>
      </c>
      <c r="B3" s="1" t="s">
        <v>126</v>
      </c>
      <c r="C3" s="1">
        <v>25.0</v>
      </c>
      <c r="D3" s="14" t="s">
        <v>149</v>
      </c>
      <c r="E3" s="14" t="s">
        <v>19</v>
      </c>
      <c r="F3" s="14" t="s">
        <v>32</v>
      </c>
      <c r="G3" s="13"/>
      <c r="H3" s="13"/>
      <c r="I3" s="13" t="s">
        <v>49</v>
      </c>
      <c r="J3" s="13"/>
      <c r="K3" s="13"/>
      <c r="L3" s="15"/>
      <c r="M3" s="15"/>
      <c r="N3" s="15"/>
      <c r="O3" s="15"/>
    </row>
    <row r="4" ht="114.75" customHeight="1">
      <c r="A4" s="1" t="s">
        <v>148</v>
      </c>
      <c r="B4" s="1" t="s">
        <v>135</v>
      </c>
      <c r="C4" s="1">
        <v>15.0</v>
      </c>
      <c r="D4" s="14" t="s">
        <v>149</v>
      </c>
      <c r="E4" s="14" t="s">
        <v>19</v>
      </c>
      <c r="F4" s="14" t="s">
        <v>44</v>
      </c>
      <c r="G4" s="13"/>
      <c r="H4" s="13"/>
      <c r="I4" s="13" t="s">
        <v>49</v>
      </c>
      <c r="J4" s="13"/>
      <c r="K4" s="13"/>
      <c r="L4" s="15"/>
      <c r="M4" s="15"/>
      <c r="N4" s="15"/>
      <c r="O4" s="15"/>
    </row>
    <row r="5" ht="114.75" customHeight="1">
      <c r="A5" s="1" t="s">
        <v>152</v>
      </c>
      <c r="B5" s="1" t="s">
        <v>104</v>
      </c>
      <c r="C5" s="1">
        <v>20.0</v>
      </c>
      <c r="D5" s="14" t="s">
        <v>153</v>
      </c>
      <c r="E5" s="14" t="s">
        <v>53</v>
      </c>
      <c r="F5" s="14" t="s">
        <v>54</v>
      </c>
      <c r="G5" s="13"/>
      <c r="H5" s="13"/>
      <c r="I5" s="13" t="s">
        <v>49</v>
      </c>
      <c r="J5" s="13"/>
      <c r="K5" s="13"/>
      <c r="L5" s="15"/>
      <c r="M5" s="15"/>
      <c r="N5" s="15"/>
      <c r="O5" s="15"/>
    </row>
    <row r="6" ht="114.75" customHeight="1">
      <c r="A6" s="1" t="s">
        <v>152</v>
      </c>
      <c r="B6" s="1" t="s">
        <v>138</v>
      </c>
      <c r="C6" s="1">
        <v>30.0</v>
      </c>
      <c r="D6" s="14" t="s">
        <v>153</v>
      </c>
      <c r="E6" s="14" t="s">
        <v>56</v>
      </c>
      <c r="F6" s="14" t="s">
        <v>58</v>
      </c>
      <c r="G6" s="13"/>
      <c r="H6" s="13"/>
      <c r="I6" s="13" t="s">
        <v>49</v>
      </c>
      <c r="J6" s="13"/>
      <c r="K6" s="13"/>
      <c r="L6" s="15"/>
      <c r="M6" s="15"/>
      <c r="N6" s="15"/>
      <c r="O6" s="15"/>
    </row>
    <row r="7" ht="114.75" customHeight="1">
      <c r="A7" s="1" t="s">
        <v>152</v>
      </c>
      <c r="B7" s="1" t="s">
        <v>154</v>
      </c>
      <c r="C7" s="1">
        <v>11.0</v>
      </c>
      <c r="D7" s="14" t="s">
        <v>153</v>
      </c>
      <c r="E7" s="14" t="s">
        <v>62</v>
      </c>
      <c r="F7" s="14" t="s">
        <v>63</v>
      </c>
      <c r="G7" s="13"/>
      <c r="H7" s="13"/>
      <c r="I7" s="13" t="s">
        <v>49</v>
      </c>
      <c r="J7" s="13"/>
      <c r="K7" s="13"/>
      <c r="L7" s="15"/>
      <c r="M7" s="15"/>
      <c r="N7" s="15"/>
      <c r="O7" s="15"/>
    </row>
    <row r="8">
      <c r="G8" s="17"/>
      <c r="H8" s="17"/>
      <c r="I8" s="17"/>
      <c r="J8" s="17"/>
      <c r="K8" s="17"/>
      <c r="L8" s="18"/>
      <c r="M8" s="18"/>
      <c r="N8" s="18"/>
      <c r="O8" s="18"/>
    </row>
    <row r="9">
      <c r="G9" s="17"/>
      <c r="H9" s="17"/>
      <c r="I9" s="17"/>
      <c r="J9" s="17"/>
      <c r="K9" s="17"/>
      <c r="L9" s="18"/>
      <c r="M9" s="18"/>
      <c r="N9" s="18"/>
      <c r="O9" s="18"/>
    </row>
    <row r="10">
      <c r="G10" s="17"/>
      <c r="H10" s="17"/>
      <c r="I10" s="17"/>
      <c r="J10" s="17"/>
      <c r="K10" s="17"/>
      <c r="L10" s="18"/>
      <c r="M10" s="18"/>
      <c r="N10" s="18"/>
      <c r="O10" s="18"/>
    </row>
    <row r="11">
      <c r="G11" s="17"/>
      <c r="H11" s="17"/>
      <c r="I11" s="17"/>
      <c r="J11" s="17"/>
      <c r="K11" s="17"/>
      <c r="L11" s="18"/>
      <c r="M11" s="18"/>
      <c r="N11" s="18"/>
      <c r="O11" s="18"/>
    </row>
    <row r="12">
      <c r="G12" s="17"/>
      <c r="H12" s="17"/>
      <c r="I12" s="17"/>
      <c r="J12" s="17"/>
      <c r="K12" s="17"/>
      <c r="L12" s="18"/>
      <c r="M12" s="18"/>
      <c r="N12" s="18"/>
      <c r="O12" s="18"/>
    </row>
    <row r="13">
      <c r="G13" s="17"/>
      <c r="H13" s="17"/>
      <c r="I13" s="17"/>
      <c r="J13" s="17"/>
      <c r="K13" s="17"/>
      <c r="L13" s="18"/>
      <c r="M13" s="18"/>
      <c r="N13" s="18"/>
      <c r="O13" s="18"/>
    </row>
    <row r="14">
      <c r="G14" s="17"/>
      <c r="H14" s="17"/>
      <c r="I14" s="17"/>
      <c r="J14" s="17"/>
      <c r="K14" s="17"/>
      <c r="L14" s="18"/>
      <c r="M14" s="18"/>
      <c r="N14" s="18"/>
      <c r="O14" s="18"/>
    </row>
    <row r="15">
      <c r="G15" s="17"/>
      <c r="H15" s="17"/>
      <c r="I15" s="17"/>
      <c r="J15" s="17"/>
      <c r="K15" s="17"/>
      <c r="L15" s="18"/>
      <c r="M15" s="18"/>
      <c r="N15" s="18"/>
      <c r="O15" s="18"/>
    </row>
    <row r="16">
      <c r="G16" s="17"/>
      <c r="H16" s="17"/>
      <c r="I16" s="17"/>
      <c r="J16" s="17"/>
      <c r="K16" s="17"/>
      <c r="L16" s="18"/>
      <c r="M16" s="18"/>
      <c r="N16" s="18"/>
      <c r="O16" s="18"/>
    </row>
    <row r="17">
      <c r="G17" s="17"/>
      <c r="H17" s="17"/>
      <c r="I17" s="17"/>
      <c r="J17" s="17"/>
      <c r="K17" s="17"/>
      <c r="L17" s="18"/>
      <c r="M17" s="18"/>
      <c r="N17" s="18"/>
      <c r="O17" s="18"/>
    </row>
    <row r="18">
      <c r="G18" s="17"/>
      <c r="H18" s="17"/>
      <c r="I18" s="17"/>
      <c r="J18" s="17"/>
      <c r="K18" s="17"/>
      <c r="L18" s="18"/>
      <c r="M18" s="18"/>
      <c r="N18" s="18"/>
      <c r="O18" s="18"/>
    </row>
    <row r="19">
      <c r="G19" s="17"/>
      <c r="H19" s="17"/>
      <c r="I19" s="17"/>
      <c r="J19" s="17"/>
      <c r="K19" s="17"/>
      <c r="L19" s="18"/>
      <c r="M19" s="18"/>
      <c r="N19" s="18"/>
      <c r="O19" s="18"/>
    </row>
    <row r="20">
      <c r="G20" s="17"/>
      <c r="H20" s="17"/>
      <c r="I20" s="17"/>
      <c r="J20" s="17"/>
      <c r="K20" s="17"/>
      <c r="L20" s="18"/>
      <c r="M20" s="18"/>
      <c r="N20" s="18"/>
      <c r="O20" s="18"/>
    </row>
    <row r="21" ht="15.75" customHeight="1">
      <c r="G21" s="17"/>
      <c r="H21" s="17"/>
      <c r="I21" s="17"/>
      <c r="J21" s="17"/>
      <c r="K21" s="17"/>
      <c r="L21" s="18"/>
      <c r="M21" s="18"/>
      <c r="N21" s="18"/>
      <c r="O21" s="18"/>
    </row>
    <row r="22" ht="15.75" customHeight="1">
      <c r="G22" s="17"/>
      <c r="H22" s="17"/>
      <c r="I22" s="17"/>
      <c r="J22" s="17"/>
      <c r="K22" s="17"/>
      <c r="L22" s="18"/>
      <c r="M22" s="18"/>
      <c r="N22" s="18"/>
      <c r="O22" s="18"/>
    </row>
    <row r="23" ht="15.75" customHeight="1">
      <c r="G23" s="17"/>
      <c r="H23" s="17"/>
      <c r="I23" s="17"/>
      <c r="J23" s="17"/>
      <c r="K23" s="17"/>
      <c r="L23" s="18"/>
      <c r="M23" s="18"/>
      <c r="N23" s="18"/>
      <c r="O23" s="18"/>
    </row>
    <row r="24" ht="15.75" customHeight="1">
      <c r="G24" s="17"/>
      <c r="H24" s="17"/>
      <c r="I24" s="17"/>
      <c r="J24" s="17"/>
      <c r="K24" s="17"/>
      <c r="L24" s="18"/>
      <c r="M24" s="18"/>
      <c r="N24" s="18"/>
      <c r="O24" s="18"/>
    </row>
    <row r="25" ht="15.75" customHeight="1">
      <c r="G25" s="17"/>
      <c r="H25" s="17"/>
      <c r="I25" s="17"/>
      <c r="J25" s="17"/>
      <c r="K25" s="17"/>
      <c r="L25" s="18"/>
      <c r="M25" s="18"/>
      <c r="N25" s="18"/>
      <c r="O25" s="18"/>
    </row>
    <row r="26" ht="15.75" customHeight="1">
      <c r="G26" s="17"/>
      <c r="H26" s="17"/>
      <c r="I26" s="17"/>
      <c r="J26" s="17"/>
      <c r="K26" s="17"/>
      <c r="L26" s="18"/>
      <c r="M26" s="18"/>
      <c r="N26" s="18"/>
      <c r="O26" s="18"/>
    </row>
    <row r="27" ht="15.75" customHeight="1">
      <c r="G27" s="17"/>
      <c r="H27" s="17"/>
      <c r="I27" s="17"/>
      <c r="J27" s="17"/>
      <c r="K27" s="17"/>
      <c r="L27" s="18"/>
      <c r="M27" s="18"/>
      <c r="N27" s="18"/>
      <c r="O27" s="18"/>
    </row>
    <row r="28" ht="15.75" customHeight="1">
      <c r="G28" s="17"/>
      <c r="H28" s="17"/>
      <c r="I28" s="17"/>
      <c r="J28" s="17"/>
      <c r="K28" s="17"/>
      <c r="L28" s="18"/>
      <c r="M28" s="18"/>
      <c r="N28" s="18"/>
      <c r="O28" s="18"/>
    </row>
    <row r="29" ht="15.75" customHeight="1">
      <c r="G29" s="17"/>
      <c r="H29" s="17"/>
      <c r="I29" s="17"/>
      <c r="J29" s="17"/>
      <c r="K29" s="17"/>
      <c r="L29" s="18"/>
      <c r="M29" s="18"/>
      <c r="N29" s="18"/>
      <c r="O29" s="18"/>
    </row>
    <row r="30" ht="15.75" customHeight="1">
      <c r="G30" s="17"/>
      <c r="H30" s="17"/>
      <c r="I30" s="17"/>
      <c r="J30" s="17"/>
      <c r="K30" s="17"/>
      <c r="L30" s="18"/>
      <c r="M30" s="18"/>
      <c r="N30" s="18"/>
      <c r="O30" s="18"/>
    </row>
    <row r="31" ht="15.75" customHeight="1">
      <c r="G31" s="17"/>
      <c r="H31" s="17"/>
      <c r="I31" s="17"/>
      <c r="J31" s="17"/>
      <c r="K31" s="17"/>
      <c r="L31" s="18"/>
      <c r="M31" s="18"/>
      <c r="N31" s="18"/>
      <c r="O31" s="18"/>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G31">
      <formula1>"1,2,3,Cannot assess"</formula1>
    </dataValidation>
    <dataValidation type="list" allowBlank="1" sqref="H2:H31">
      <formula1>"Clear ordering,Tie reasonable,Insufficient information"</formula1>
    </dataValidation>
    <dataValidation type="list" allowBlank="1" sqref="I2:I31">
      <formula1>"Not started,In progress,Needs clarification,Completed"</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4.0"/>
    <col customWidth="1" min="2" max="2" width="16.0"/>
    <col customWidth="1" min="3" max="4" width="18.0"/>
    <col customWidth="1" min="5" max="5" width="16.0"/>
    <col customWidth="1" min="6" max="6" width="65.0"/>
    <col customWidth="1" min="7" max="7" width="85.0"/>
    <col customWidth="1" min="8" max="8" width="30.0"/>
    <col customWidth="1" min="9" max="11" width="20.0"/>
    <col customWidth="1" min="12" max="26" width="8.63"/>
  </cols>
  <sheetData>
    <row r="1" ht="43.5" customHeight="1">
      <c r="A1" s="8" t="s">
        <v>14</v>
      </c>
      <c r="B1" s="8" t="s">
        <v>23</v>
      </c>
      <c r="C1" s="8" t="s">
        <v>156</v>
      </c>
      <c r="D1" s="8" t="s">
        <v>157</v>
      </c>
      <c r="E1" s="8" t="s">
        <v>140</v>
      </c>
      <c r="F1" s="8" t="s">
        <v>142</v>
      </c>
      <c r="G1" s="8" t="s">
        <v>143</v>
      </c>
      <c r="H1" s="8" t="s">
        <v>158</v>
      </c>
      <c r="I1" s="8" t="s">
        <v>159</v>
      </c>
      <c r="J1" s="8" t="s">
        <v>160</v>
      </c>
      <c r="K1" s="8" t="s">
        <v>161</v>
      </c>
    </row>
    <row r="2" ht="120.0" customHeight="1">
      <c r="A2" s="1" t="s">
        <v>46</v>
      </c>
      <c r="B2" s="1" t="s">
        <v>47</v>
      </c>
      <c r="C2" s="1">
        <v>1.0</v>
      </c>
      <c r="D2" s="1">
        <v>0.0</v>
      </c>
      <c r="E2" s="1">
        <v>12.0</v>
      </c>
      <c r="F2" s="14" t="s">
        <v>19</v>
      </c>
      <c r="G2" s="14" t="s">
        <v>21</v>
      </c>
      <c r="H2" s="1" t="s">
        <v>162</v>
      </c>
      <c r="I2" s="1" t="s">
        <v>163</v>
      </c>
      <c r="J2" s="1" t="s">
        <v>164</v>
      </c>
      <c r="K2" s="1" t="s">
        <v>165</v>
      </c>
    </row>
    <row r="3" ht="120.0" customHeight="1">
      <c r="A3" s="1" t="s">
        <v>104</v>
      </c>
      <c r="B3" s="1" t="s">
        <v>105</v>
      </c>
      <c r="C3" s="1">
        <v>2.0</v>
      </c>
      <c r="D3" s="1">
        <v>8.0</v>
      </c>
      <c r="E3" s="1">
        <v>20.0</v>
      </c>
      <c r="F3" s="14" t="s">
        <v>53</v>
      </c>
      <c r="G3" s="14" t="s">
        <v>54</v>
      </c>
      <c r="H3" s="1" t="s">
        <v>162</v>
      </c>
      <c r="I3" s="1" t="s">
        <v>163</v>
      </c>
      <c r="J3" s="1" t="s">
        <v>164</v>
      </c>
      <c r="K3" s="1" t="s">
        <v>165</v>
      </c>
    </row>
    <row r="4" ht="120.0" customHeight="1">
      <c r="A4" s="1" t="s">
        <v>118</v>
      </c>
      <c r="B4" s="1" t="s">
        <v>119</v>
      </c>
      <c r="C4" s="1">
        <v>2.0</v>
      </c>
      <c r="D4" s="1">
        <v>6.0</v>
      </c>
      <c r="E4" s="1">
        <v>9.0</v>
      </c>
      <c r="F4" s="14" t="s">
        <v>74</v>
      </c>
      <c r="G4" s="14" t="s">
        <v>75</v>
      </c>
      <c r="H4" s="1" t="s">
        <v>162</v>
      </c>
      <c r="I4" s="1" t="s">
        <v>163</v>
      </c>
      <c r="J4" s="1" t="s">
        <v>164</v>
      </c>
      <c r="K4" s="1" t="s">
        <v>165</v>
      </c>
    </row>
    <row r="5" ht="120.0" customHeight="1">
      <c r="A5" s="1" t="s">
        <v>126</v>
      </c>
      <c r="B5" s="1" t="s">
        <v>127</v>
      </c>
      <c r="C5" s="1">
        <v>1.0</v>
      </c>
      <c r="D5" s="1">
        <v>0.0</v>
      </c>
      <c r="E5" s="1">
        <v>25.0</v>
      </c>
      <c r="F5" s="14" t="s">
        <v>19</v>
      </c>
      <c r="G5" s="14" t="s">
        <v>32</v>
      </c>
      <c r="H5" s="1" t="s">
        <v>162</v>
      </c>
      <c r="I5" s="1" t="s">
        <v>163</v>
      </c>
      <c r="J5" s="1" t="s">
        <v>164</v>
      </c>
      <c r="K5" s="1" t="s">
        <v>165</v>
      </c>
    </row>
    <row r="6" ht="120.0" customHeight="1">
      <c r="A6" s="1" t="s">
        <v>131</v>
      </c>
      <c r="B6" s="1" t="s">
        <v>132</v>
      </c>
      <c r="C6" s="1">
        <v>2.0</v>
      </c>
      <c r="D6" s="1">
        <v>10.0</v>
      </c>
      <c r="E6" s="1">
        <v>18.0</v>
      </c>
      <c r="F6" s="14" t="s">
        <v>84</v>
      </c>
      <c r="G6" s="14" t="s">
        <v>85</v>
      </c>
      <c r="H6" s="1" t="s">
        <v>162</v>
      </c>
      <c r="I6" s="1" t="s">
        <v>163</v>
      </c>
      <c r="J6" s="1" t="s">
        <v>164</v>
      </c>
      <c r="K6" s="1" t="s">
        <v>165</v>
      </c>
    </row>
    <row r="7" ht="120.0" customHeight="1">
      <c r="A7" s="1" t="s">
        <v>133</v>
      </c>
      <c r="B7" s="1" t="s">
        <v>134</v>
      </c>
      <c r="C7" s="1">
        <v>2.0</v>
      </c>
      <c r="D7" s="1">
        <v>5.0</v>
      </c>
      <c r="E7" s="1">
        <v>6.0</v>
      </c>
      <c r="F7" s="14" t="s">
        <v>99</v>
      </c>
      <c r="G7" s="14" t="s">
        <v>101</v>
      </c>
      <c r="H7" s="1" t="s">
        <v>162</v>
      </c>
      <c r="I7" s="1" t="s">
        <v>163</v>
      </c>
      <c r="J7" s="1" t="s">
        <v>164</v>
      </c>
      <c r="K7" s="1" t="s">
        <v>165</v>
      </c>
    </row>
    <row r="8" ht="120.0" customHeight="1">
      <c r="A8" s="1" t="s">
        <v>135</v>
      </c>
      <c r="B8" s="1" t="s">
        <v>136</v>
      </c>
      <c r="C8" s="1">
        <v>1.0</v>
      </c>
      <c r="D8" s="1">
        <v>0.0</v>
      </c>
      <c r="E8" s="1">
        <v>15.0</v>
      </c>
      <c r="F8" s="14" t="s">
        <v>19</v>
      </c>
      <c r="G8" s="14" t="s">
        <v>44</v>
      </c>
      <c r="H8" s="1" t="s">
        <v>162</v>
      </c>
      <c r="I8" s="1" t="s">
        <v>163</v>
      </c>
      <c r="J8" s="1" t="s">
        <v>164</v>
      </c>
      <c r="K8" s="1" t="s">
        <v>165</v>
      </c>
    </row>
    <row r="9" ht="120.0" customHeight="1">
      <c r="A9" s="1" t="s">
        <v>138</v>
      </c>
      <c r="B9" s="1" t="s">
        <v>139</v>
      </c>
      <c r="C9" s="1">
        <v>2.0</v>
      </c>
      <c r="D9" s="1">
        <v>7.0</v>
      </c>
      <c r="E9" s="1">
        <v>30.0</v>
      </c>
      <c r="F9" s="14" t="s">
        <v>56</v>
      </c>
      <c r="G9" s="14" t="s">
        <v>58</v>
      </c>
      <c r="H9" s="1" t="s">
        <v>162</v>
      </c>
      <c r="I9" s="1" t="s">
        <v>163</v>
      </c>
      <c r="J9" s="1" t="s">
        <v>164</v>
      </c>
      <c r="K9" s="1" t="s">
        <v>165</v>
      </c>
    </row>
    <row r="10" ht="120.0" customHeight="1">
      <c r="A10" s="1" t="s">
        <v>150</v>
      </c>
      <c r="B10" s="1" t="s">
        <v>151</v>
      </c>
      <c r="C10" s="1">
        <v>2.0</v>
      </c>
      <c r="D10" s="1">
        <v>4.0</v>
      </c>
      <c r="E10" s="1">
        <v>14.0</v>
      </c>
      <c r="F10" s="14" t="s">
        <v>121</v>
      </c>
      <c r="G10" s="14" t="s">
        <v>122</v>
      </c>
      <c r="H10" s="1" t="s">
        <v>162</v>
      </c>
      <c r="I10" s="1" t="s">
        <v>163</v>
      </c>
      <c r="J10" s="1" t="s">
        <v>164</v>
      </c>
      <c r="K10" s="1" t="s">
        <v>165</v>
      </c>
    </row>
    <row r="11" ht="120.0" customHeight="1">
      <c r="A11" s="1" t="s">
        <v>154</v>
      </c>
      <c r="B11" s="1" t="s">
        <v>155</v>
      </c>
      <c r="C11" s="1">
        <v>2.0</v>
      </c>
      <c r="D11" s="1">
        <v>9.0</v>
      </c>
      <c r="E11" s="1">
        <v>11.0</v>
      </c>
      <c r="F11" s="14" t="s">
        <v>62</v>
      </c>
      <c r="G11" s="14" t="s">
        <v>63</v>
      </c>
      <c r="H11" s="1" t="s">
        <v>162</v>
      </c>
      <c r="I11" s="1" t="s">
        <v>163</v>
      </c>
      <c r="J11" s="1" t="s">
        <v>164</v>
      </c>
      <c r="K11" s="1" t="s">
        <v>165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7.0"/>
    <col customWidth="1" min="2" max="2" width="110.0"/>
    <col customWidth="1" min="3" max="26" width="8.63"/>
  </cols>
  <sheetData>
    <row r="1" ht="43.5" customHeight="1">
      <c r="A1" s="8" t="s">
        <v>166</v>
      </c>
      <c r="B1" s="8" t="s">
        <v>167</v>
      </c>
    </row>
    <row r="2" ht="63.75" customHeight="1">
      <c r="A2" s="1" t="s">
        <v>168</v>
      </c>
      <c r="B2" s="14" t="s">
        <v>169</v>
      </c>
    </row>
    <row r="3" ht="63.75" customHeight="1">
      <c r="A3" s="1" t="s">
        <v>170</v>
      </c>
      <c r="B3" s="14" t="s">
        <v>171</v>
      </c>
    </row>
    <row r="4" ht="63.75" customHeight="1">
      <c r="A4" s="1" t="s">
        <v>172</v>
      </c>
      <c r="B4" s="14" t="s">
        <v>173</v>
      </c>
    </row>
    <row r="5" ht="63.75" customHeight="1">
      <c r="A5" s="1" t="s">
        <v>174</v>
      </c>
      <c r="B5" s="14" t="s">
        <v>175</v>
      </c>
    </row>
    <row r="6" ht="63.75" customHeight="1">
      <c r="A6" s="1" t="s">
        <v>176</v>
      </c>
      <c r="B6" s="14" t="s">
        <v>177</v>
      </c>
    </row>
    <row r="7" ht="63.75" customHeight="1">
      <c r="A7" s="1" t="s">
        <v>178</v>
      </c>
      <c r="B7" s="14" t="s">
        <v>179</v>
      </c>
    </row>
    <row r="8" ht="63.75" customHeight="1">
      <c r="A8" s="1" t="s">
        <v>180</v>
      </c>
      <c r="B8" s="14" t="s">
        <v>181</v>
      </c>
    </row>
    <row r="9" ht="63.75" customHeight="1">
      <c r="A9" s="1" t="s">
        <v>182</v>
      </c>
      <c r="B9" s="14" t="s">
        <v>183</v>
      </c>
    </row>
    <row r="10" ht="63.75" customHeight="1">
      <c r="A10" s="1" t="s">
        <v>184</v>
      </c>
      <c r="B10" s="14" t="s">
        <v>185</v>
      </c>
    </row>
    <row r="11" ht="63.75" customHeight="1">
      <c r="A11" s="1" t="s">
        <v>186</v>
      </c>
      <c r="B11" s="14" t="s">
        <v>187</v>
      </c>
    </row>
    <row r="12" ht="63.75" customHeight="1">
      <c r="A12" s="1" t="s">
        <v>188</v>
      </c>
      <c r="B12" s="14" t="s">
        <v>189</v>
      </c>
    </row>
    <row r="13" ht="63.75" customHeight="1">
      <c r="A13" s="1" t="s">
        <v>190</v>
      </c>
      <c r="B13" s="14" t="s">
        <v>191</v>
      </c>
    </row>
    <row r="14" ht="63.75" customHeight="1">
      <c r="A14" s="1" t="s">
        <v>192</v>
      </c>
      <c r="B14" s="14" t="s">
        <v>193</v>
      </c>
    </row>
    <row r="15" ht="63.75" customHeight="1">
      <c r="A15" s="1" t="s">
        <v>194</v>
      </c>
      <c r="B15" s="14" t="s">
        <v>195</v>
      </c>
    </row>
    <row r="16" ht="63.75" customHeight="1">
      <c r="A16" s="1" t="s">
        <v>196</v>
      </c>
      <c r="B16" s="14" t="s">
        <v>197</v>
      </c>
    </row>
    <row r="17" ht="63.75" customHeight="1">
      <c r="A17" s="1" t="s">
        <v>198</v>
      </c>
      <c r="B17" s="14" t="s">
        <v>199</v>
      </c>
    </row>
    <row r="18" ht="63.75" customHeight="1">
      <c r="A18" s="1" t="s">
        <v>102</v>
      </c>
      <c r="B18" s="14" t="s">
        <v>200</v>
      </c>
    </row>
    <row r="19" ht="63.75" customHeight="1">
      <c r="A19" s="1" t="s">
        <v>201</v>
      </c>
      <c r="B19" s="14" t="s">
        <v>202</v>
      </c>
    </row>
    <row r="20" ht="63.75" customHeight="1">
      <c r="A20" s="1" t="s">
        <v>203</v>
      </c>
      <c r="B20" s="14" t="s">
        <v>204</v>
      </c>
    </row>
    <row r="21" ht="63.75" customHeight="1">
      <c r="A21" s="1" t="s">
        <v>205</v>
      </c>
      <c r="B21" s="14" t="s">
        <v>206</v>
      </c>
    </row>
    <row r="22" ht="63.75" customHeight="1">
      <c r="A22" s="1" t="s">
        <v>207</v>
      </c>
      <c r="B22" s="14" t="s">
        <v>208</v>
      </c>
    </row>
    <row r="23" ht="63.75" customHeight="1">
      <c r="A23" s="1" t="s">
        <v>209</v>
      </c>
      <c r="B23" s="14" t="s">
        <v>210</v>
      </c>
    </row>
    <row r="24" ht="63.75" customHeight="1">
      <c r="A24" s="1" t="s">
        <v>211</v>
      </c>
      <c r="B24" s="14" t="s">
        <v>212</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